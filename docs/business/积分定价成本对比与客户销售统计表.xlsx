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20" windowHeight="14640" tabRatio="500" activeTab="1"/>
  </bookViews>
  <sheets>
    <sheet name="方案总览" sheetId="1" r:id="rId1"/>
    <sheet name="成本与毛利测算" sheetId="2" r:id="rId2"/>
    <sheet name="新旧模式对比" sheetId="3" r:id="rId3"/>
    <sheet name="客户销售统计表" sheetId="4" r:id="rId4"/>
    <sheet name="Review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<sst xmlns="http://schemas.openxmlformats.org/spreadsheetml/2006/main" count="194" uniqueCount="166">
  <si>
    <r>
      <rPr>
        <sz val="16"/>
        <color rgb="FF1B2A4A"/>
        <rFont val="Linux Libertine G"/>
        <charset val="134"/>
      </rPr>
      <t xml:space="preserve">积分定价方案总览（客户版 </t>
    </r>
    <r>
      <rPr>
        <sz val="16"/>
        <color rgb="FF1B2A4A"/>
        <rFont val="Noto Sans CJK SC"/>
        <charset val="1"/>
      </rPr>
      <t>V3 · 2026-09-04</t>
    </r>
    <r>
      <rPr>
        <sz val="16"/>
        <color rgb="FF1B2A4A"/>
        <rFont val="Linux Libertine G"/>
        <charset val="134"/>
      </rPr>
      <t>）</t>
    </r>
  </si>
  <si>
    <r>
      <rPr>
        <sz val="11"/>
        <color rgb="FF1B2A4A"/>
        <rFont val="Linux Libertine G"/>
        <charset val="134"/>
      </rPr>
      <t>一、计费规则（</t>
    </r>
    <r>
      <rPr>
        <sz val="11"/>
        <color rgb="FF1B2A4A"/>
        <rFont val="Noto Sans CJK SC"/>
        <charset val="1"/>
      </rPr>
      <t>1</t>
    </r>
    <r>
      <rPr>
        <sz val="11"/>
        <color rgb="FF1B2A4A"/>
        <rFont val="Linux Libertine G"/>
        <charset val="134"/>
      </rPr>
      <t>积分＝</t>
    </r>
    <r>
      <rPr>
        <sz val="11"/>
        <color rgb="FF1B2A4A"/>
        <rFont val="Noto Sans CJK SC"/>
        <charset val="1"/>
      </rPr>
      <t>1</t>
    </r>
    <r>
      <rPr>
        <sz val="11"/>
        <color rgb="FF1B2A4A"/>
        <rFont val="Linux Libertine G"/>
        <charset val="134"/>
      </rPr>
      <t>元面值）</t>
    </r>
  </si>
  <si>
    <t>计费项</t>
  </si>
  <si>
    <t>计费单位</t>
  </si>
  <si>
    <t>积分单价</t>
  </si>
  <si>
    <r>
      <rPr>
        <sz val="11"/>
        <color rgb="FFFFFFFF"/>
        <rFont val="Linux Libertine G"/>
        <charset val="134"/>
      </rPr>
      <t>面值收入</t>
    </r>
    <r>
      <rPr>
        <sz val="11"/>
        <color rgb="FFFFFFFF"/>
        <rFont val="Noto Sans CJK SC"/>
        <charset val="1"/>
      </rPr>
      <t>(</t>
    </r>
    <r>
      <rPr>
        <sz val="11"/>
        <color rgb="FFFFFFFF"/>
        <rFont val="Linux Libertine G"/>
        <charset val="134"/>
      </rPr>
      <t>元</t>
    </r>
    <r>
      <rPr>
        <sz val="11"/>
        <color rgb="FFFFFFFF"/>
        <rFont val="Noto Sans CJK SC"/>
        <charset val="1"/>
      </rPr>
      <t>)</t>
    </r>
  </si>
  <si>
    <t>说明</t>
  </si>
  <si>
    <t>视频生成</t>
  </si>
  <si>
    <t>条</t>
  </si>
  <si>
    <t>主付费项，按成功成品计费</t>
  </si>
  <si>
    <t>图片生成</t>
  </si>
  <si>
    <t>张</t>
  </si>
  <si>
    <r>
      <rPr>
        <sz val="11"/>
        <color rgb="FF37352F"/>
        <rFont val="Linux Libertine G"/>
        <charset val="134"/>
      </rPr>
      <t xml:space="preserve">分镜首帧 </t>
    </r>
    <r>
      <rPr>
        <sz val="11"/>
        <color rgb="FF37352F"/>
        <rFont val="Noto Sans CJK SC"/>
        <charset val="1"/>
      </rPr>
      <t xml:space="preserve">/ </t>
    </r>
    <r>
      <rPr>
        <sz val="11"/>
        <color rgb="FF37352F"/>
        <rFont val="Linux Libertine G"/>
        <charset val="134"/>
      </rPr>
      <t>人物形象图</t>
    </r>
  </si>
  <si>
    <t>视频分析</t>
  </si>
  <si>
    <t>次</t>
  </si>
  <si>
    <r>
      <rPr>
        <sz val="11"/>
        <color rgb="FF37352F"/>
        <rFont val="Linux Libertine G"/>
        <charset val="134"/>
      </rPr>
      <t xml:space="preserve">参考视频 </t>
    </r>
    <r>
      <rPr>
        <sz val="11"/>
        <color rgb="FF37352F"/>
        <rFont val="Noto Sans CJK SC"/>
        <charset val="1"/>
      </rPr>
      <t xml:space="preserve">AI </t>
    </r>
    <r>
      <rPr>
        <sz val="11"/>
        <color rgb="FF37352F"/>
        <rFont val="Linux Libertine G"/>
        <charset val="134"/>
      </rPr>
      <t>拆解分镜</t>
    </r>
  </si>
  <si>
    <t>二、充值档位（充值送礼，多充多送）</t>
  </si>
  <si>
    <t>档位</t>
  </si>
  <si>
    <r>
      <rPr>
        <sz val="11"/>
        <color rgb="FFFFFFFF"/>
        <rFont val="Linux Libertine G"/>
        <charset val="134"/>
      </rPr>
      <t>充值金额</t>
    </r>
    <r>
      <rPr>
        <sz val="11"/>
        <color rgb="FFFFFFFF"/>
        <rFont val="Noto Sans CJK SC"/>
        <charset val="1"/>
      </rPr>
      <t>(</t>
    </r>
    <r>
      <rPr>
        <sz val="11"/>
        <color rgb="FFFFFFFF"/>
        <rFont val="Linux Libertine G"/>
        <charset val="134"/>
      </rPr>
      <t>元</t>
    </r>
    <r>
      <rPr>
        <sz val="11"/>
        <color rgb="FFFFFFFF"/>
        <rFont val="Noto Sans CJK SC"/>
        <charset val="1"/>
      </rPr>
      <t>)</t>
    </r>
  </si>
  <si>
    <t>赠送积分</t>
  </si>
  <si>
    <t>到账积分</t>
  </si>
  <si>
    <r>
      <rPr>
        <sz val="11"/>
        <color rgb="FFFFFFFF"/>
        <rFont val="Linux Libertine G"/>
        <charset val="134"/>
      </rPr>
      <t>实际单价</t>
    </r>
    <r>
      <rPr>
        <sz val="11"/>
        <color rgb="FFFFFFFF"/>
        <rFont val="Noto Sans CJK SC"/>
        <charset val="1"/>
      </rPr>
      <t>(</t>
    </r>
    <r>
      <rPr>
        <sz val="11"/>
        <color rgb="FFFFFFFF"/>
        <rFont val="Linux Libertine G"/>
        <charset val="134"/>
      </rPr>
      <t>元</t>
    </r>
    <r>
      <rPr>
        <sz val="11"/>
        <color rgb="FFFFFFFF"/>
        <rFont val="Noto Sans CJK SC"/>
        <charset val="1"/>
      </rPr>
      <t>/</t>
    </r>
    <r>
      <rPr>
        <sz val="11"/>
        <color rgb="FFFFFFFF"/>
        <rFont val="Linux Libertine G"/>
        <charset val="134"/>
      </rPr>
      <t>积分</t>
    </r>
    <r>
      <rPr>
        <sz val="11"/>
        <color rgb="FFFFFFFF"/>
        <rFont val="Noto Sans CJK SC"/>
        <charset val="1"/>
      </rPr>
      <t>)</t>
    </r>
  </si>
  <si>
    <t>相当于折扣</t>
  </si>
  <si>
    <t>状态</t>
  </si>
  <si>
    <t>体验档</t>
  </si>
  <si>
    <t>建议新增</t>
  </si>
  <si>
    <t>标准档</t>
  </si>
  <si>
    <t>已确认</t>
  </si>
  <si>
    <t>高级档</t>
  </si>
  <si>
    <t>铂金档</t>
  </si>
  <si>
    <t>旗舰档</t>
  </si>
  <si>
    <t>三、核心结论</t>
  </si>
  <si>
    <r>
      <rPr>
        <sz val="11"/>
        <color rgb="FF37352F"/>
        <rFont val="Noto Sans CJK SC"/>
        <charset val="1"/>
      </rPr>
      <t>1</t>
    </r>
    <r>
      <rPr>
        <sz val="11"/>
        <color rgb="FF37352F"/>
        <rFont val="Linux Libertine G"/>
        <charset val="134"/>
      </rPr>
      <t>、积分锚定：</t>
    </r>
    <r>
      <rPr>
        <sz val="11"/>
        <color rgb="FF37352F"/>
        <rFont val="Noto Sans CJK SC"/>
        <charset val="1"/>
      </rPr>
      <t>1</t>
    </r>
    <r>
      <rPr>
        <sz val="11"/>
        <color rgb="FF37352F"/>
        <rFont val="Linux Libertine G"/>
        <charset val="134"/>
      </rPr>
      <t>积分＝</t>
    </r>
    <r>
      <rPr>
        <sz val="11"/>
        <color rgb="FF37352F"/>
        <rFont val="Noto Sans CJK SC"/>
        <charset val="1"/>
      </rPr>
      <t>1</t>
    </r>
    <r>
      <rPr>
        <sz val="11"/>
        <color rgb="FF37352F"/>
        <rFont val="Linux Libertine G"/>
        <charset val="134"/>
      </rPr>
      <t>元面值；充值赠送只稀释实际单价——标准档</t>
    </r>
    <r>
      <rPr>
        <sz val="11"/>
        <color rgb="FF37352F"/>
        <rFont val="Noto Sans CJK SC"/>
        <charset val="1"/>
      </rPr>
      <t>(1000</t>
    </r>
    <r>
      <rPr>
        <sz val="11"/>
        <color rgb="FF37352F"/>
        <rFont val="Linux Libertine G"/>
        <charset val="134"/>
      </rPr>
      <t>送</t>
    </r>
    <r>
      <rPr>
        <sz val="11"/>
        <color rgb="FF37352F"/>
        <rFont val="Noto Sans CJK SC"/>
        <charset val="1"/>
      </rPr>
      <t>100)</t>
    </r>
    <r>
      <rPr>
        <sz val="11"/>
        <color rgb="FF37352F"/>
        <rFont val="Linux Libertine G"/>
        <charset val="134"/>
      </rPr>
      <t>约</t>
    </r>
    <r>
      <rPr>
        <sz val="11"/>
        <color rgb="FF37352F"/>
        <rFont val="Noto Sans CJK SC"/>
        <charset val="1"/>
      </rPr>
      <t>0.909</t>
    </r>
    <r>
      <rPr>
        <sz val="11"/>
        <color rgb="FF37352F"/>
        <rFont val="Linux Libertine G"/>
        <charset val="134"/>
      </rPr>
      <t>元</t>
    </r>
    <r>
      <rPr>
        <sz val="11"/>
        <color rgb="FF37352F"/>
        <rFont val="Noto Sans CJK SC"/>
        <charset val="1"/>
      </rPr>
      <t>/</t>
    </r>
    <r>
      <rPr>
        <sz val="11"/>
        <color rgb="FF37352F"/>
        <rFont val="Linux Libertine G"/>
        <charset val="134"/>
      </rPr>
      <t>积分（</t>
    </r>
    <r>
      <rPr>
        <sz val="11"/>
        <color rgb="FF37352F"/>
        <rFont val="Noto Sans CJK SC"/>
        <charset val="1"/>
      </rPr>
      <t>9.1</t>
    </r>
    <r>
      <rPr>
        <sz val="11"/>
        <color rgb="FF37352F"/>
        <rFont val="Linux Libertine G"/>
        <charset val="134"/>
      </rPr>
      <t>折），高级档</t>
    </r>
    <r>
      <rPr>
        <sz val="11"/>
        <color rgb="FF37352F"/>
        <rFont val="Noto Sans CJK SC"/>
        <charset val="1"/>
      </rPr>
      <t>(3000</t>
    </r>
    <r>
      <rPr>
        <sz val="11"/>
        <color rgb="FF37352F"/>
        <rFont val="Linux Libertine G"/>
        <charset val="134"/>
      </rPr>
      <t>送</t>
    </r>
    <r>
      <rPr>
        <sz val="11"/>
        <color rgb="FF37352F"/>
        <rFont val="Noto Sans CJK SC"/>
        <charset val="1"/>
      </rPr>
      <t>500)</t>
    </r>
    <r>
      <rPr>
        <sz val="11"/>
        <color rgb="FF37352F"/>
        <rFont val="Linux Libertine G"/>
        <charset val="134"/>
      </rPr>
      <t>约</t>
    </r>
    <r>
      <rPr>
        <sz val="11"/>
        <color rgb="FF37352F"/>
        <rFont val="Noto Sans CJK SC"/>
        <charset val="1"/>
      </rPr>
      <t>0.857</t>
    </r>
    <r>
      <rPr>
        <sz val="11"/>
        <color rgb="FF37352F"/>
        <rFont val="Linux Libertine G"/>
        <charset val="134"/>
      </rPr>
      <t>元</t>
    </r>
    <r>
      <rPr>
        <sz val="11"/>
        <color rgb="FF37352F"/>
        <rFont val="Noto Sans CJK SC"/>
        <charset val="1"/>
      </rPr>
      <t>/</t>
    </r>
    <r>
      <rPr>
        <sz val="11"/>
        <color rgb="FF37352F"/>
        <rFont val="Linux Libertine G"/>
        <charset val="134"/>
      </rPr>
      <t>积分（</t>
    </r>
    <r>
      <rPr>
        <sz val="11"/>
        <color rgb="FF37352F"/>
        <rFont val="Noto Sans CJK SC"/>
        <charset val="1"/>
      </rPr>
      <t>8.6</t>
    </r>
    <r>
      <rPr>
        <sz val="11"/>
        <color rgb="FF37352F"/>
        <rFont val="Linux Libertine G"/>
        <charset val="134"/>
      </rPr>
      <t>折）。</t>
    </r>
  </si>
  <si>
    <r>
      <rPr>
        <sz val="11"/>
        <color rgb="FF37352F"/>
        <rFont val="Noto Sans CJK SC"/>
        <charset val="1"/>
      </rPr>
      <t>2</t>
    </r>
    <r>
      <rPr>
        <sz val="11"/>
        <color rgb="FF37352F"/>
        <rFont val="Linux Libertine G"/>
        <charset val="134"/>
      </rPr>
      <t>、单项毛利：视频生成毛利率约</t>
    </r>
    <r>
      <rPr>
        <sz val="11"/>
        <color rgb="FF37352F"/>
        <rFont val="Noto Sans CJK SC"/>
        <charset val="1"/>
      </rPr>
      <t>91%–95%</t>
    </r>
    <r>
      <rPr>
        <sz val="11"/>
        <color rgb="FF37352F"/>
        <rFont val="Linux Libertine G"/>
        <charset val="134"/>
      </rPr>
      <t>；图片生成、视频分析单项毛利率约</t>
    </r>
    <r>
      <rPr>
        <sz val="11"/>
        <color rgb="FF37352F"/>
        <rFont val="Noto Sans CJK SC"/>
        <charset val="1"/>
      </rPr>
      <t>77%–80%</t>
    </r>
    <r>
      <rPr>
        <sz val="11"/>
        <color rgb="FF37352F"/>
        <rFont val="Linux Libertine G"/>
        <charset val="134"/>
      </rPr>
      <t>。</t>
    </r>
  </si>
  <si>
    <r>
      <t>3</t>
    </r>
    <r>
      <rPr>
        <sz val="11"/>
        <color rgb="FF37352F"/>
        <rFont val="Linux Libertine G"/>
        <charset val="1"/>
      </rPr>
      <t>、单条成品视频全流程（视频分析</t>
    </r>
    <r>
      <rPr>
        <sz val="11"/>
        <color rgb="FF37352F"/>
        <rFont val="Noto Sans CJK SC"/>
        <charset val="1"/>
      </rPr>
      <t>1</t>
    </r>
    <r>
      <rPr>
        <sz val="11"/>
        <color rgb="FF37352F"/>
        <rFont val="Linux Libertine G"/>
        <charset val="1"/>
      </rPr>
      <t>次＋图片</t>
    </r>
    <r>
      <rPr>
        <sz val="11"/>
        <color rgb="FF37352F"/>
        <rFont val="Noto Sans CJK SC"/>
        <charset val="1"/>
      </rPr>
      <t>8</t>
    </r>
    <r>
      <rPr>
        <sz val="11"/>
        <color rgb="FF37352F"/>
        <rFont val="Linux Libertine G"/>
        <charset val="1"/>
      </rPr>
      <t>张＋视频生成</t>
    </r>
    <r>
      <rPr>
        <sz val="11"/>
        <color rgb="FF37352F"/>
        <rFont val="Noto Sans CJK SC"/>
        <charset val="1"/>
      </rPr>
      <t>1</t>
    </r>
    <r>
      <rPr>
        <sz val="11"/>
        <color rgb="FF37352F"/>
        <rFont val="Linux Libertine G"/>
        <charset val="1"/>
      </rPr>
      <t>条）客户消耗约</t>
    </r>
    <r>
      <rPr>
        <sz val="11"/>
        <color rgb="FF37352F"/>
        <rFont val="Noto Sans CJK SC"/>
        <charset val="1"/>
      </rPr>
      <t>39</t>
    </r>
    <r>
      <rPr>
        <sz val="11"/>
        <color rgb="FF37352F"/>
        <rFont val="Linux Libertine G"/>
        <charset val="1"/>
      </rPr>
      <t>积分；我方综合成本约</t>
    </r>
    <r>
      <rPr>
        <sz val="11"/>
        <color rgb="FF37352F"/>
        <rFont val="Noto Sans CJK SC"/>
        <charset val="1"/>
      </rPr>
      <t>3.9</t>
    </r>
    <r>
      <rPr>
        <sz val="11"/>
        <color rgb="FF37352F"/>
        <rFont val="Linux Libertine G"/>
        <charset val="1"/>
      </rPr>
      <t>元，综合毛利率约</t>
    </r>
    <r>
      <rPr>
        <sz val="11"/>
        <color rgb="FF37352F"/>
        <rFont val="Noto Sans CJK SC"/>
        <charset val="1"/>
      </rPr>
      <t>88%–90%</t>
    </r>
    <r>
      <rPr>
        <sz val="11"/>
        <color rgb="FF37352F"/>
        <rFont val="Linux Libertine G"/>
        <charset val="1"/>
      </rPr>
      <t>。</t>
    </r>
  </si>
  <si>
    <r>
      <rPr>
        <sz val="11"/>
        <color rgb="FF37352F"/>
        <rFont val="Noto Sans CJK SC"/>
        <charset val="1"/>
      </rPr>
      <t>4</t>
    </r>
    <r>
      <rPr>
        <sz val="11"/>
        <color rgb="FF37352F"/>
        <rFont val="Linux Libertine G"/>
        <charset val="134"/>
      </rPr>
      <t>、对比旧模式</t>
    </r>
    <r>
      <rPr>
        <sz val="11"/>
        <color rgb="FF37352F"/>
        <rFont val="Noto Sans CJK SC"/>
        <charset val="1"/>
      </rPr>
      <t>10</t>
    </r>
    <r>
      <rPr>
        <sz val="11"/>
        <color rgb="FF37352F"/>
        <rFont val="Linux Libertine G"/>
        <charset val="134"/>
      </rPr>
      <t>元</t>
    </r>
    <r>
      <rPr>
        <sz val="11"/>
        <color rgb="FF37352F"/>
        <rFont val="Noto Sans CJK SC"/>
        <charset val="1"/>
      </rPr>
      <t>/</t>
    </r>
    <r>
      <rPr>
        <sz val="11"/>
        <color rgb="FF37352F"/>
        <rFont val="Linux Libertine G"/>
        <charset val="134"/>
      </rPr>
      <t>次：单条成品毛利从约</t>
    </r>
    <r>
      <rPr>
        <sz val="11"/>
        <color rgb="FF37352F"/>
        <rFont val="Noto Sans CJK SC"/>
        <charset val="1"/>
      </rPr>
      <t>6.1</t>
    </r>
    <r>
      <rPr>
        <sz val="11"/>
        <color rgb="FF37352F"/>
        <rFont val="Linux Libertine G"/>
        <charset val="134"/>
      </rPr>
      <t>元提升至约</t>
    </r>
    <r>
      <rPr>
        <sz val="11"/>
        <color rgb="FF37352F"/>
        <rFont val="Noto Sans CJK SC"/>
        <charset val="1"/>
      </rPr>
      <t>29.6–35.1</t>
    </r>
    <r>
      <rPr>
        <sz val="11"/>
        <color rgb="FF37352F"/>
        <rFont val="Linux Libertine G"/>
        <charset val="134"/>
      </rPr>
      <t>元（约</t>
    </r>
    <r>
      <rPr>
        <sz val="11"/>
        <color rgb="FF37352F"/>
        <rFont val="Noto Sans CJK SC"/>
        <charset val="1"/>
      </rPr>
      <t>4.8–5.7</t>
    </r>
    <r>
      <rPr>
        <sz val="11"/>
        <color rgb="FF37352F"/>
        <rFont val="Linux Libertine G"/>
        <charset val="134"/>
      </rPr>
      <t>倍），且按“条”计费、失败返还，对客户更透明。</t>
    </r>
  </si>
  <si>
    <r>
      <rPr>
        <sz val="11"/>
        <color rgb="FF37352F"/>
        <rFont val="Noto Sans CJK SC"/>
        <charset val="1"/>
      </rPr>
      <t>5</t>
    </r>
    <r>
      <rPr>
        <sz val="11"/>
        <color rgb="FF37352F"/>
        <rFont val="Linux Libertine G"/>
        <charset val="134"/>
      </rPr>
      <t>、建议配套规则：生成失败自动返还积分；积分有效期</t>
    </r>
    <r>
      <rPr>
        <sz val="11"/>
        <color rgb="FF37352F"/>
        <rFont val="Noto Sans CJK SC"/>
        <charset val="1"/>
      </rPr>
      <t>12</t>
    </r>
    <r>
      <rPr>
        <sz val="11"/>
        <color rgb="FF37352F"/>
        <rFont val="Linux Libertine G"/>
        <charset val="134"/>
      </rPr>
      <t>个月；赠送积分与充值积分同池消耗、按下单先后扣减。</t>
    </r>
  </si>
  <si>
    <t>对外报价仅使用「一、计费规则」与「二、充值档位」；「三、核心结论」及成本测算表为内部资料，外发前请删除。</t>
  </si>
  <si>
    <t>成本拆分与毛利测算（黄色假设项可调，全表联动）</t>
  </si>
  <si>
    <t>一、基础参数（用户确认，勿随意改动）</t>
  </si>
  <si>
    <t>参数</t>
  </si>
  <si>
    <t>数值</t>
  </si>
  <si>
    <t>单位</t>
  </si>
  <si>
    <t>来源说明</t>
  </si>
  <si>
    <t>积分面值</t>
  </si>
  <si>
    <r>
      <rPr>
        <sz val="11"/>
        <color rgb="FF37352F"/>
        <rFont val="Linux Libertine G"/>
        <charset val="134"/>
      </rPr>
      <t>元</t>
    </r>
    <r>
      <rPr>
        <sz val="11"/>
        <color rgb="FF37352F"/>
        <rFont val="Noto Sans CJK SC"/>
        <charset val="1"/>
      </rPr>
      <t>/</t>
    </r>
    <r>
      <rPr>
        <sz val="11"/>
        <color rgb="FF37352F"/>
        <rFont val="Linux Libertine G"/>
        <charset val="134"/>
      </rPr>
      <t>积分</t>
    </r>
  </si>
  <si>
    <r>
      <rPr>
        <sz val="11"/>
        <color rgb="FF37352F"/>
        <rFont val="Linux Libertine G"/>
        <charset val="134"/>
      </rPr>
      <t>用户确认：</t>
    </r>
    <r>
      <rPr>
        <sz val="11"/>
        <color rgb="FF37352F"/>
        <rFont val="Noto Sans CJK SC"/>
        <charset val="1"/>
      </rPr>
      <t>1</t>
    </r>
    <r>
      <rPr>
        <sz val="11"/>
        <color rgb="FF37352F"/>
        <rFont val="Linux Libertine G"/>
        <charset val="134"/>
      </rPr>
      <t>积分</t>
    </r>
    <r>
      <rPr>
        <sz val="11"/>
        <color rgb="FF37352F"/>
        <rFont val="Noto Sans CJK SC"/>
        <charset val="1"/>
      </rPr>
      <t>=1</t>
    </r>
    <r>
      <rPr>
        <sz val="11"/>
        <color rgb="FF37352F"/>
        <rFont val="Linux Libertine G"/>
        <charset val="134"/>
      </rPr>
      <t>元面值</t>
    </r>
  </si>
  <si>
    <t>视频生成积分单价</t>
  </si>
  <si>
    <r>
      <rPr>
        <sz val="11"/>
        <color rgb="FF37352F"/>
        <rFont val="Linux Libertine G"/>
        <charset val="134"/>
      </rPr>
      <t>积分</t>
    </r>
    <r>
      <rPr>
        <sz val="11"/>
        <color rgb="FF37352F"/>
        <rFont val="Noto Sans CJK SC"/>
        <charset val="1"/>
      </rPr>
      <t>/</t>
    </r>
    <r>
      <rPr>
        <sz val="11"/>
        <color rgb="FF37352F"/>
        <rFont val="Linux Libertine G"/>
        <charset val="134"/>
      </rPr>
      <t>条</t>
    </r>
  </si>
  <si>
    <r>
      <rPr>
        <sz val="11"/>
        <color rgb="FF37352F"/>
        <rFont val="Linux Libertine G"/>
        <charset val="134"/>
      </rPr>
      <t>用户确认：</t>
    </r>
    <r>
      <rPr>
        <sz val="11"/>
        <color rgb="FF37352F"/>
        <rFont val="Noto Sans CJK SC"/>
        <charset val="1"/>
      </rPr>
      <t>30</t>
    </r>
    <r>
      <rPr>
        <sz val="11"/>
        <color rgb="FF37352F"/>
        <rFont val="Linux Libertine G"/>
        <charset val="134"/>
      </rPr>
      <t>积分</t>
    </r>
    <r>
      <rPr>
        <sz val="11"/>
        <color rgb="FF37352F"/>
        <rFont val="Noto Sans CJK SC"/>
        <charset val="1"/>
      </rPr>
      <t>/</t>
    </r>
    <r>
      <rPr>
        <sz val="11"/>
        <color rgb="FF37352F"/>
        <rFont val="Linux Libertine G"/>
        <charset val="134"/>
      </rPr>
      <t>条（原</t>
    </r>
    <r>
      <rPr>
        <sz val="11"/>
        <color rgb="FF37352F"/>
        <rFont val="Noto Sans CJK SC"/>
        <charset val="1"/>
      </rPr>
      <t>10</t>
    </r>
    <r>
      <rPr>
        <sz val="11"/>
        <color rgb="FF37352F"/>
        <rFont val="Linux Libertine G"/>
        <charset val="134"/>
      </rPr>
      <t>元</t>
    </r>
    <r>
      <rPr>
        <sz val="11"/>
        <color rgb="FF37352F"/>
        <rFont val="Noto Sans CJK SC"/>
        <charset val="1"/>
      </rPr>
      <t>/</t>
    </r>
    <r>
      <rPr>
        <sz val="11"/>
        <color rgb="FF37352F"/>
        <rFont val="Linux Libertine G"/>
        <charset val="134"/>
      </rPr>
      <t>次）</t>
    </r>
  </si>
  <si>
    <r>
      <rPr>
        <sz val="11"/>
        <color rgb="FF37352F"/>
        <rFont val="Linux Libertine G"/>
        <charset val="134"/>
      </rPr>
      <t>视频生成成本</t>
    </r>
    <r>
      <rPr>
        <sz val="11"/>
        <color rgb="FF37352F"/>
        <rFont val="Noto Sans CJK SC"/>
        <charset val="1"/>
      </rPr>
      <t>·768P</t>
    </r>
  </si>
  <si>
    <r>
      <t>元</t>
    </r>
    <r>
      <rPr>
        <sz val="11"/>
        <color rgb="FF37352F"/>
        <rFont val="Noto Sans CJK SC"/>
        <charset val="134"/>
      </rPr>
      <t>/</t>
    </r>
    <r>
      <rPr>
        <sz val="11"/>
        <color rgb="FF37352F"/>
        <rFont val="Linux Libertine G"/>
        <charset val="134"/>
      </rPr>
      <t>条/15s</t>
    </r>
  </si>
  <si>
    <t>用户确认</t>
  </si>
  <si>
    <r>
      <rPr>
        <sz val="11"/>
        <color rgb="FF37352F"/>
        <rFont val="Linux Libertine G"/>
        <charset val="134"/>
      </rPr>
      <t>视频生成成本</t>
    </r>
    <r>
      <rPr>
        <sz val="11"/>
        <color rgb="FF37352F"/>
        <rFont val="Noto Sans CJK SC"/>
        <charset val="1"/>
      </rPr>
      <t>·2K</t>
    </r>
  </si>
  <si>
    <t>元/条/15s</t>
  </si>
  <si>
    <t>图片生成积分单价</t>
  </si>
  <si>
    <r>
      <rPr>
        <sz val="11"/>
        <color rgb="FF37352F"/>
        <rFont val="Linux Libertine G"/>
        <charset val="134"/>
      </rPr>
      <t>积分</t>
    </r>
    <r>
      <rPr>
        <sz val="11"/>
        <color rgb="FF37352F"/>
        <rFont val="Noto Sans CJK SC"/>
        <charset val="1"/>
      </rPr>
      <t>/</t>
    </r>
    <r>
      <rPr>
        <sz val="11"/>
        <color rgb="FF37352F"/>
        <rFont val="Linux Libertine G"/>
        <charset val="134"/>
      </rPr>
      <t>张</t>
    </r>
  </si>
  <si>
    <r>
      <rPr>
        <sz val="11"/>
        <color rgb="FF37352F"/>
        <rFont val="Linux Libertine G"/>
        <charset val="134"/>
      </rPr>
      <t>用户确认：</t>
    </r>
    <r>
      <rPr>
        <sz val="11"/>
        <color rgb="FF37352F"/>
        <rFont val="Noto Sans CJK SC"/>
        <charset val="1"/>
      </rPr>
      <t>1</t>
    </r>
    <r>
      <rPr>
        <sz val="11"/>
        <color rgb="FF37352F"/>
        <rFont val="Linux Libertine G"/>
        <charset val="134"/>
      </rPr>
      <t>积分</t>
    </r>
    <r>
      <rPr>
        <sz val="11"/>
        <color rgb="FF37352F"/>
        <rFont val="Noto Sans CJK SC"/>
        <charset val="1"/>
      </rPr>
      <t>/</t>
    </r>
    <r>
      <rPr>
        <sz val="11"/>
        <color rgb="FF37352F"/>
        <rFont val="Linux Libertine G"/>
        <charset val="134"/>
      </rPr>
      <t>次</t>
    </r>
  </si>
  <si>
    <t>视频分析积分单价</t>
  </si>
  <si>
    <r>
      <rPr>
        <sz val="11"/>
        <color rgb="FF37352F"/>
        <rFont val="Linux Libertine G"/>
        <charset val="134"/>
      </rPr>
      <t>积分</t>
    </r>
    <r>
      <rPr>
        <sz val="11"/>
        <color rgb="FF37352F"/>
        <rFont val="Noto Sans CJK SC"/>
        <charset val="1"/>
      </rPr>
      <t>/</t>
    </r>
    <r>
      <rPr>
        <sz val="11"/>
        <color rgb="FF37352F"/>
        <rFont val="Linux Libertine G"/>
        <charset val="134"/>
      </rPr>
      <t>次</t>
    </r>
  </si>
  <si>
    <t>二、运营假设（可调整：改这里，全工作簿联动）</t>
  </si>
  <si>
    <t>假设项</t>
  </si>
  <si>
    <t>图片生成成本</t>
  </si>
  <si>
    <r>
      <rPr>
        <sz val="11"/>
        <color rgb="FF37352F"/>
        <rFont val="Linux Libertine G"/>
        <charset val="134"/>
      </rPr>
      <t>元</t>
    </r>
    <r>
      <rPr>
        <sz val="11"/>
        <color rgb="FF37352F"/>
        <rFont val="Noto Sans CJK SC"/>
        <charset val="1"/>
      </rPr>
      <t>/</t>
    </r>
    <r>
      <rPr>
        <sz val="11"/>
        <color rgb="FF37352F"/>
        <rFont val="Linux Libertine G"/>
        <charset val="134"/>
      </rPr>
      <t>张</t>
    </r>
  </si>
  <si>
    <t>假设值，待按供应商账单校准</t>
  </si>
  <si>
    <t>视频分析成本</t>
  </si>
  <si>
    <r>
      <rPr>
        <sz val="11"/>
        <color rgb="FF37352F"/>
        <rFont val="Linux Libertine G"/>
        <charset val="134"/>
      </rPr>
      <t>元</t>
    </r>
    <r>
      <rPr>
        <sz val="11"/>
        <color rgb="FF37352F"/>
        <rFont val="Noto Sans CJK SC"/>
        <charset val="1"/>
      </rPr>
      <t>/</t>
    </r>
    <r>
      <rPr>
        <sz val="11"/>
        <color rgb="FF37352F"/>
        <rFont val="Linux Libertine G"/>
        <charset val="134"/>
      </rPr>
      <t>次</t>
    </r>
  </si>
  <si>
    <t>假设值，待按模型账单校准</t>
  </si>
  <si>
    <t>单条视频平均图片张数</t>
  </si>
  <si>
    <r>
      <rPr>
        <sz val="11"/>
        <color rgb="FF37352F"/>
        <rFont val="Linux Libertine G"/>
        <charset val="134"/>
      </rPr>
      <t>张</t>
    </r>
    <r>
      <rPr>
        <sz val="11"/>
        <color rgb="FF37352F"/>
        <rFont val="Noto Sans CJK SC"/>
        <charset val="1"/>
      </rPr>
      <t>/</t>
    </r>
    <r>
      <rPr>
        <sz val="11"/>
        <color rgb="FF37352F"/>
        <rFont val="Linux Libertine G"/>
        <charset val="134"/>
      </rPr>
      <t>条</t>
    </r>
  </si>
  <si>
    <t>按典型分镜首帧数估算</t>
  </si>
  <si>
    <t>视频生成失败重试率</t>
  </si>
  <si>
    <t>—</t>
  </si>
  <si>
    <t>失败重试成本由我方承担</t>
  </si>
  <si>
    <r>
      <rPr>
        <sz val="11"/>
        <color rgb="FF37352F"/>
        <rFont val="Noto Sans CJK SC"/>
        <charset val="1"/>
      </rPr>
      <t xml:space="preserve">768P </t>
    </r>
    <r>
      <rPr>
        <sz val="11"/>
        <color rgb="FF37352F"/>
        <rFont val="Linux Libertine G"/>
        <charset val="134"/>
      </rPr>
      <t>占比</t>
    </r>
  </si>
  <si>
    <t>按客户用量结构估算</t>
  </si>
  <si>
    <r>
      <rPr>
        <sz val="11"/>
        <color rgb="FF37352F"/>
        <rFont val="Noto Sans CJK SC"/>
        <charset val="1"/>
      </rPr>
      <t xml:space="preserve">2K </t>
    </r>
    <r>
      <rPr>
        <sz val="11"/>
        <color rgb="FF37352F"/>
        <rFont val="Linux Libertine G"/>
        <charset val="134"/>
      </rPr>
      <t>占比</t>
    </r>
  </si>
  <si>
    <r>
      <rPr>
        <sz val="11"/>
        <color rgb="FF37352F"/>
        <rFont val="Linux Libertine G"/>
        <charset val="134"/>
      </rPr>
      <t xml:space="preserve">自动计算 </t>
    </r>
    <r>
      <rPr>
        <sz val="11"/>
        <color rgb="FF37352F"/>
        <rFont val="Noto Sans CJK SC"/>
        <charset val="1"/>
      </rPr>
      <t>=1-768P</t>
    </r>
    <r>
      <rPr>
        <sz val="11"/>
        <color rgb="FF37352F"/>
        <rFont val="Linux Libertine G"/>
        <charset val="134"/>
      </rPr>
      <t>占比</t>
    </r>
  </si>
  <si>
    <t>三、单条成品视频全流程测算（混合分辨率口径）</t>
  </si>
  <si>
    <t>项目</t>
  </si>
  <si>
    <t>计算口径</t>
  </si>
  <si>
    <r>
      <rPr>
        <sz val="11"/>
        <color rgb="FF37352F"/>
        <rFont val="Linux Libertine G"/>
        <charset val="134"/>
      </rPr>
      <t>视频混合成本</t>
    </r>
    <r>
      <rPr>
        <sz val="11"/>
        <color rgb="FF37352F"/>
        <rFont val="Noto Sans CJK SC"/>
        <charset val="1"/>
      </rPr>
      <t>(</t>
    </r>
    <r>
      <rPr>
        <sz val="11"/>
        <color rgb="FF37352F"/>
        <rFont val="Linux Libertine G"/>
        <charset val="134"/>
      </rPr>
      <t>元</t>
    </r>
    <r>
      <rPr>
        <sz val="11"/>
        <color rgb="FF37352F"/>
        <rFont val="Noto Sans CJK SC"/>
        <charset val="1"/>
      </rPr>
      <t>/</t>
    </r>
    <r>
      <rPr>
        <sz val="11"/>
        <color rgb="FF37352F"/>
        <rFont val="Linux Libertine G"/>
        <charset val="134"/>
      </rPr>
      <t>条</t>
    </r>
    <r>
      <rPr>
        <sz val="11"/>
        <color rgb="FF37352F"/>
        <rFont val="Noto Sans CJK SC"/>
        <charset val="1"/>
      </rPr>
      <t>)</t>
    </r>
  </si>
  <si>
    <r>
      <rPr>
        <sz val="11"/>
        <color rgb="FF37352F"/>
        <rFont val="Noto Sans CJK SC"/>
        <charset val="1"/>
      </rPr>
      <t>768P</t>
    </r>
    <r>
      <rPr>
        <sz val="11"/>
        <color rgb="FF37352F"/>
        <rFont val="Linux Libertine G"/>
        <charset val="134"/>
      </rPr>
      <t>成本</t>
    </r>
    <r>
      <rPr>
        <sz val="11"/>
        <color rgb="FF37352F"/>
        <rFont val="Noto Sans CJK SC"/>
        <charset val="1"/>
      </rPr>
      <t>×</t>
    </r>
    <r>
      <rPr>
        <sz val="11"/>
        <color rgb="FF37352F"/>
        <rFont val="Linux Libertine G"/>
        <charset val="134"/>
      </rPr>
      <t>占比＋</t>
    </r>
    <r>
      <rPr>
        <sz val="11"/>
        <color rgb="FF37352F"/>
        <rFont val="Noto Sans CJK SC"/>
        <charset val="1"/>
      </rPr>
      <t>2K</t>
    </r>
    <r>
      <rPr>
        <sz val="11"/>
        <color rgb="FF37352F"/>
        <rFont val="Linux Libertine G"/>
        <charset val="134"/>
      </rPr>
      <t>成本</t>
    </r>
    <r>
      <rPr>
        <sz val="11"/>
        <color rgb="FF37352F"/>
        <rFont val="Noto Sans CJK SC"/>
        <charset val="1"/>
      </rPr>
      <t>×</t>
    </r>
    <r>
      <rPr>
        <sz val="11"/>
        <color rgb="FF37352F"/>
        <rFont val="Linux Libertine G"/>
        <charset val="134"/>
      </rPr>
      <t>占比</t>
    </r>
  </si>
  <si>
    <r>
      <rPr>
        <sz val="11"/>
        <color rgb="FF37352F"/>
        <rFont val="Linux Libertine G"/>
        <charset val="134"/>
      </rPr>
      <t>视频含重试成本</t>
    </r>
    <r>
      <rPr>
        <sz val="11"/>
        <color rgb="FF37352F"/>
        <rFont val="Noto Sans CJK SC"/>
        <charset val="1"/>
      </rPr>
      <t>(</t>
    </r>
    <r>
      <rPr>
        <sz val="11"/>
        <color rgb="FF37352F"/>
        <rFont val="Linux Libertine G"/>
        <charset val="134"/>
      </rPr>
      <t>元</t>
    </r>
    <r>
      <rPr>
        <sz val="11"/>
        <color rgb="FF37352F"/>
        <rFont val="Noto Sans CJK SC"/>
        <charset val="1"/>
      </rPr>
      <t>/</t>
    </r>
    <r>
      <rPr>
        <sz val="11"/>
        <color rgb="FF37352F"/>
        <rFont val="Linux Libertine G"/>
        <charset val="134"/>
      </rPr>
      <t>条</t>
    </r>
    <r>
      <rPr>
        <sz val="11"/>
        <color rgb="FF37352F"/>
        <rFont val="Noto Sans CJK SC"/>
        <charset val="1"/>
      </rPr>
      <t>)</t>
    </r>
  </si>
  <si>
    <r>
      <rPr>
        <sz val="11"/>
        <color rgb="FF37352F"/>
        <rFont val="Linux Libertine G"/>
        <charset val="134"/>
      </rPr>
      <t>混合成本</t>
    </r>
    <r>
      <rPr>
        <sz val="11"/>
        <color rgb="FF37352F"/>
        <rFont val="Noto Sans CJK SC"/>
        <charset val="1"/>
      </rPr>
      <t>×(1</t>
    </r>
    <r>
      <rPr>
        <sz val="11"/>
        <color rgb="FF37352F"/>
        <rFont val="Linux Libertine G"/>
        <charset val="134"/>
      </rPr>
      <t>＋重试率</t>
    </r>
    <r>
      <rPr>
        <sz val="11"/>
        <color rgb="FF37352F"/>
        <rFont val="Noto Sans CJK SC"/>
        <charset val="1"/>
      </rPr>
      <t>)</t>
    </r>
  </si>
  <si>
    <r>
      <rPr>
        <sz val="11"/>
        <color rgb="FF37352F"/>
        <rFont val="Linux Libertine G"/>
        <charset val="134"/>
      </rPr>
      <t>图片成本小计</t>
    </r>
    <r>
      <rPr>
        <sz val="11"/>
        <color rgb="FF37352F"/>
        <rFont val="Noto Sans CJK SC"/>
        <charset val="1"/>
      </rPr>
      <t>(</t>
    </r>
    <r>
      <rPr>
        <sz val="11"/>
        <color rgb="FF37352F"/>
        <rFont val="Linux Libertine G"/>
        <charset val="134"/>
      </rPr>
      <t>元</t>
    </r>
    <r>
      <rPr>
        <sz val="11"/>
        <color rgb="FF37352F"/>
        <rFont val="Noto Sans CJK SC"/>
        <charset val="1"/>
      </rPr>
      <t>/</t>
    </r>
    <r>
      <rPr>
        <sz val="11"/>
        <color rgb="FF37352F"/>
        <rFont val="Linux Libertine G"/>
        <charset val="134"/>
      </rPr>
      <t>条</t>
    </r>
    <r>
      <rPr>
        <sz val="11"/>
        <color rgb="FF37352F"/>
        <rFont val="Noto Sans CJK SC"/>
        <charset val="1"/>
      </rPr>
      <t>)</t>
    </r>
  </si>
  <si>
    <r>
      <rPr>
        <sz val="11"/>
        <color rgb="FF37352F"/>
        <rFont val="Linux Libertine G"/>
        <charset val="134"/>
      </rPr>
      <t>图片张数</t>
    </r>
    <r>
      <rPr>
        <sz val="11"/>
        <color rgb="FF37352F"/>
        <rFont val="Noto Sans CJK SC"/>
        <charset val="1"/>
      </rPr>
      <t>×</t>
    </r>
    <r>
      <rPr>
        <sz val="11"/>
        <color rgb="FF37352F"/>
        <rFont val="Linux Libertine G"/>
        <charset val="134"/>
      </rPr>
      <t>图片成本</t>
    </r>
  </si>
  <si>
    <r>
      <rPr>
        <sz val="11"/>
        <color rgb="FF37352F"/>
        <rFont val="Linux Libertine G"/>
        <charset val="134"/>
      </rPr>
      <t>视频分析成本</t>
    </r>
    <r>
      <rPr>
        <sz val="11"/>
        <color rgb="FF37352F"/>
        <rFont val="Noto Sans CJK SC"/>
        <charset val="1"/>
      </rPr>
      <t>(</t>
    </r>
    <r>
      <rPr>
        <sz val="11"/>
        <color rgb="FF37352F"/>
        <rFont val="Linux Libertine G"/>
        <charset val="134"/>
      </rPr>
      <t>元</t>
    </r>
    <r>
      <rPr>
        <sz val="11"/>
        <color rgb="FF37352F"/>
        <rFont val="Noto Sans CJK SC"/>
        <charset val="1"/>
      </rPr>
      <t>/</t>
    </r>
    <r>
      <rPr>
        <sz val="11"/>
        <color rgb="FF37352F"/>
        <rFont val="Linux Libertine G"/>
        <charset val="134"/>
      </rPr>
      <t>条</t>
    </r>
    <r>
      <rPr>
        <sz val="11"/>
        <color rgb="FF37352F"/>
        <rFont val="Noto Sans CJK SC"/>
        <charset val="1"/>
      </rPr>
      <t>)</t>
    </r>
  </si>
  <si>
    <r>
      <rPr>
        <sz val="11"/>
        <color rgb="FF37352F"/>
        <rFont val="Linux Libertine G"/>
        <charset val="134"/>
      </rPr>
      <t>每条分析</t>
    </r>
    <r>
      <rPr>
        <sz val="11"/>
        <color rgb="FF37352F"/>
        <rFont val="Noto Sans CJK SC"/>
        <charset val="1"/>
      </rPr>
      <t>1</t>
    </r>
    <r>
      <rPr>
        <sz val="11"/>
        <color rgb="FF37352F"/>
        <rFont val="Linux Libertine G"/>
        <charset val="134"/>
      </rPr>
      <t>次</t>
    </r>
  </si>
  <si>
    <r>
      <rPr>
        <sz val="11"/>
        <color rgb="FF37352F"/>
        <rFont val="Linux Libertine G"/>
        <charset val="134"/>
      </rPr>
      <t>全流程总成本</t>
    </r>
    <r>
      <rPr>
        <sz val="11"/>
        <color rgb="FF37352F"/>
        <rFont val="Noto Sans CJK SC"/>
        <charset val="1"/>
      </rPr>
      <t>(</t>
    </r>
    <r>
      <rPr>
        <sz val="11"/>
        <color rgb="FF37352F"/>
        <rFont val="Linux Libertine G"/>
        <charset val="134"/>
      </rPr>
      <t>元</t>
    </r>
    <r>
      <rPr>
        <sz val="11"/>
        <color rgb="FF37352F"/>
        <rFont val="Noto Sans CJK SC"/>
        <charset val="1"/>
      </rPr>
      <t>/</t>
    </r>
    <r>
      <rPr>
        <sz val="11"/>
        <color rgb="FF37352F"/>
        <rFont val="Linux Libertine G"/>
        <charset val="134"/>
      </rPr>
      <t>条</t>
    </r>
    <r>
      <rPr>
        <sz val="11"/>
        <color rgb="FF37352F"/>
        <rFont val="Noto Sans CJK SC"/>
        <charset val="1"/>
      </rPr>
      <t>)</t>
    </r>
  </si>
  <si>
    <t>视频＋图片＋分析</t>
  </si>
  <si>
    <r>
      <rPr>
        <sz val="11"/>
        <color rgb="FF37352F"/>
        <rFont val="Linux Libertine G"/>
        <charset val="134"/>
      </rPr>
      <t>全流程消耗积分</t>
    </r>
    <r>
      <rPr>
        <sz val="11"/>
        <color rgb="FF37352F"/>
        <rFont val="Noto Sans CJK SC"/>
        <charset val="1"/>
      </rPr>
      <t>(</t>
    </r>
    <r>
      <rPr>
        <sz val="11"/>
        <color rgb="FF37352F"/>
        <rFont val="Linux Libertine G"/>
        <charset val="134"/>
      </rPr>
      <t>积分</t>
    </r>
    <r>
      <rPr>
        <sz val="11"/>
        <color rgb="FF37352F"/>
        <rFont val="Noto Sans CJK SC"/>
        <charset val="1"/>
      </rPr>
      <t>/</t>
    </r>
    <r>
      <rPr>
        <sz val="11"/>
        <color rgb="FF37352F"/>
        <rFont val="Linux Libertine G"/>
        <charset val="134"/>
      </rPr>
      <t>条</t>
    </r>
    <r>
      <rPr>
        <sz val="11"/>
        <color rgb="FF37352F"/>
        <rFont val="Noto Sans CJK SC"/>
        <charset val="1"/>
      </rPr>
      <t>)</t>
    </r>
  </si>
  <si>
    <r>
      <rPr>
        <sz val="11"/>
        <color rgb="FF37352F"/>
        <rFont val="Linux Libertine G"/>
        <charset val="134"/>
      </rPr>
      <t>生成</t>
    </r>
    <r>
      <rPr>
        <sz val="11"/>
        <color rgb="FF37352F"/>
        <rFont val="Noto Sans CJK SC"/>
        <charset val="1"/>
      </rPr>
      <t>30</t>
    </r>
    <r>
      <rPr>
        <sz val="11"/>
        <color rgb="FF37352F"/>
        <rFont val="Linux Libertine G"/>
        <charset val="134"/>
      </rPr>
      <t>＋图片</t>
    </r>
    <r>
      <rPr>
        <sz val="11"/>
        <color rgb="FF37352F"/>
        <rFont val="Noto Sans CJK SC"/>
        <charset val="1"/>
      </rPr>
      <t>8×1</t>
    </r>
    <r>
      <rPr>
        <sz val="11"/>
        <color rgb="FF37352F"/>
        <rFont val="Linux Libertine G"/>
        <charset val="134"/>
      </rPr>
      <t>＋分析</t>
    </r>
    <r>
      <rPr>
        <sz val="11"/>
        <color rgb="FF37352F"/>
        <rFont val="Noto Sans CJK SC"/>
        <charset val="1"/>
      </rPr>
      <t>1</t>
    </r>
  </si>
  <si>
    <r>
      <rPr>
        <sz val="11"/>
        <color rgb="FF1B2A4A"/>
        <rFont val="Linux Libertine G"/>
        <charset val="134"/>
      </rPr>
      <t>四、单项售价</t>
    </r>
    <r>
      <rPr>
        <sz val="11"/>
        <color rgb="FF1B2A4A"/>
        <rFont val="Noto Sans CJK SC"/>
        <charset val="1"/>
      </rPr>
      <t>-</t>
    </r>
    <r>
      <rPr>
        <sz val="11"/>
        <color rgb="FF1B2A4A"/>
        <rFont val="Linux Libertine G"/>
        <charset val="134"/>
      </rPr>
      <t>毛利测算（按充值档位）</t>
    </r>
  </si>
  <si>
    <r>
      <rPr>
        <sz val="11"/>
        <color rgb="FFFFFFFF"/>
        <rFont val="Linux Libertine G"/>
        <charset val="134"/>
      </rPr>
      <t>成本</t>
    </r>
    <r>
      <rPr>
        <sz val="11"/>
        <color rgb="FFFFFFFF"/>
        <rFont val="Noto Sans CJK SC"/>
        <charset val="1"/>
      </rPr>
      <t>(</t>
    </r>
    <r>
      <rPr>
        <sz val="11"/>
        <color rgb="FFFFFFFF"/>
        <rFont val="Linux Libertine G"/>
        <charset val="134"/>
      </rPr>
      <t>元</t>
    </r>
    <r>
      <rPr>
        <sz val="11"/>
        <color rgb="FFFFFFFF"/>
        <rFont val="Noto Sans CJK SC"/>
        <charset val="1"/>
      </rPr>
      <t>)</t>
    </r>
  </si>
  <si>
    <r>
      <rPr>
        <sz val="11"/>
        <color rgb="FFFFFFFF"/>
        <rFont val="Linux Libertine G"/>
        <charset val="134"/>
      </rPr>
      <t>面值毛利</t>
    </r>
    <r>
      <rPr>
        <sz val="11"/>
        <color rgb="FFFFFFFF"/>
        <rFont val="Noto Sans CJK SC"/>
        <charset val="1"/>
      </rPr>
      <t>(</t>
    </r>
    <r>
      <rPr>
        <sz val="11"/>
        <color rgb="FFFFFFFF"/>
        <rFont val="Linux Libertine G"/>
        <charset val="134"/>
      </rPr>
      <t>元</t>
    </r>
    <r>
      <rPr>
        <sz val="11"/>
        <color rgb="FFFFFFFF"/>
        <rFont val="Noto Sans CJK SC"/>
        <charset val="1"/>
      </rPr>
      <t>)</t>
    </r>
  </si>
  <si>
    <t>面值毛利率</t>
  </si>
  <si>
    <r>
      <rPr>
        <sz val="11"/>
        <color rgb="FFFFFFFF"/>
        <rFont val="Noto Sans CJK SC"/>
        <charset val="1"/>
      </rPr>
      <t>1000</t>
    </r>
    <r>
      <rPr>
        <sz val="11"/>
        <color rgb="FFFFFFFF"/>
        <rFont val="Linux Libertine G"/>
        <charset val="134"/>
      </rPr>
      <t>档收入</t>
    </r>
    <r>
      <rPr>
        <sz val="11"/>
        <color rgb="FFFFFFFF"/>
        <rFont val="Noto Sans CJK SC"/>
        <charset val="1"/>
      </rPr>
      <t>(</t>
    </r>
    <r>
      <rPr>
        <sz val="11"/>
        <color rgb="FFFFFFFF"/>
        <rFont val="Linux Libertine G"/>
        <charset val="134"/>
      </rPr>
      <t>元</t>
    </r>
    <r>
      <rPr>
        <sz val="11"/>
        <color rgb="FFFFFFFF"/>
        <rFont val="Noto Sans CJK SC"/>
        <charset val="1"/>
      </rPr>
      <t>)</t>
    </r>
  </si>
  <si>
    <r>
      <rPr>
        <sz val="11"/>
        <color rgb="FFFFFFFF"/>
        <rFont val="Noto Sans CJK SC"/>
        <charset val="1"/>
      </rPr>
      <t>1000</t>
    </r>
    <r>
      <rPr>
        <sz val="11"/>
        <color rgb="FFFFFFFF"/>
        <rFont val="Linux Libertine G"/>
        <charset val="134"/>
      </rPr>
      <t>档毛利</t>
    </r>
    <r>
      <rPr>
        <sz val="11"/>
        <color rgb="FFFFFFFF"/>
        <rFont val="Noto Sans CJK SC"/>
        <charset val="1"/>
      </rPr>
      <t>(</t>
    </r>
    <r>
      <rPr>
        <sz val="11"/>
        <color rgb="FFFFFFFF"/>
        <rFont val="Linux Libertine G"/>
        <charset val="134"/>
      </rPr>
      <t>元</t>
    </r>
    <r>
      <rPr>
        <sz val="11"/>
        <color rgb="FFFFFFFF"/>
        <rFont val="Noto Sans CJK SC"/>
        <charset val="1"/>
      </rPr>
      <t>)</t>
    </r>
  </si>
  <si>
    <r>
      <rPr>
        <sz val="11"/>
        <color rgb="FFFFFFFF"/>
        <rFont val="Noto Sans CJK SC"/>
        <charset val="1"/>
      </rPr>
      <t>1000</t>
    </r>
    <r>
      <rPr>
        <sz val="11"/>
        <color rgb="FFFFFFFF"/>
        <rFont val="Linux Libertine G"/>
        <charset val="134"/>
      </rPr>
      <t>档毛利率</t>
    </r>
  </si>
  <si>
    <r>
      <rPr>
        <sz val="11"/>
        <color rgb="FFFFFFFF"/>
        <rFont val="Noto Sans CJK SC"/>
        <charset val="1"/>
      </rPr>
      <t>3000</t>
    </r>
    <r>
      <rPr>
        <sz val="11"/>
        <color rgb="FFFFFFFF"/>
        <rFont val="Linux Libertine G"/>
        <charset val="134"/>
      </rPr>
      <t>档收入</t>
    </r>
    <r>
      <rPr>
        <sz val="11"/>
        <color rgb="FFFFFFFF"/>
        <rFont val="Noto Sans CJK SC"/>
        <charset val="1"/>
      </rPr>
      <t>(</t>
    </r>
    <r>
      <rPr>
        <sz val="11"/>
        <color rgb="FFFFFFFF"/>
        <rFont val="Linux Libertine G"/>
        <charset val="134"/>
      </rPr>
      <t>元</t>
    </r>
    <r>
      <rPr>
        <sz val="11"/>
        <color rgb="FFFFFFFF"/>
        <rFont val="Noto Sans CJK SC"/>
        <charset val="1"/>
      </rPr>
      <t>)</t>
    </r>
  </si>
  <si>
    <r>
      <rPr>
        <sz val="11"/>
        <color rgb="FFFFFFFF"/>
        <rFont val="Noto Sans CJK SC"/>
        <charset val="1"/>
      </rPr>
      <t>3000</t>
    </r>
    <r>
      <rPr>
        <sz val="11"/>
        <color rgb="FFFFFFFF"/>
        <rFont val="Linux Libertine G"/>
        <charset val="134"/>
      </rPr>
      <t>档毛利</t>
    </r>
    <r>
      <rPr>
        <sz val="11"/>
        <color rgb="FFFFFFFF"/>
        <rFont val="Noto Sans CJK SC"/>
        <charset val="1"/>
      </rPr>
      <t>(</t>
    </r>
    <r>
      <rPr>
        <sz val="11"/>
        <color rgb="FFFFFFFF"/>
        <rFont val="Linux Libertine G"/>
        <charset val="134"/>
      </rPr>
      <t>元</t>
    </r>
    <r>
      <rPr>
        <sz val="11"/>
        <color rgb="FFFFFFFF"/>
        <rFont val="Noto Sans CJK SC"/>
        <charset val="1"/>
      </rPr>
      <t>)</t>
    </r>
  </si>
  <si>
    <r>
      <rPr>
        <sz val="11"/>
        <color rgb="FFFFFFFF"/>
        <rFont val="Noto Sans CJK SC"/>
        <charset val="1"/>
      </rPr>
      <t>3000</t>
    </r>
    <r>
      <rPr>
        <sz val="11"/>
        <color rgb="FFFFFFFF"/>
        <rFont val="Linux Libertine G"/>
        <charset val="134"/>
      </rPr>
      <t>档毛利率</t>
    </r>
  </si>
  <si>
    <r>
      <rPr>
        <sz val="11"/>
        <color rgb="FF37352F"/>
        <rFont val="Linux Libertine G"/>
        <charset val="134"/>
      </rPr>
      <t>视频生成</t>
    </r>
    <r>
      <rPr>
        <sz val="11"/>
        <color rgb="FF37352F"/>
        <rFont val="Noto Sans CJK SC"/>
        <charset val="1"/>
      </rPr>
      <t>·768P</t>
    </r>
  </si>
  <si>
    <r>
      <rPr>
        <sz val="11"/>
        <color rgb="FF37352F"/>
        <rFont val="Linux Libertine G"/>
        <charset val="134"/>
      </rPr>
      <t>视频生成</t>
    </r>
    <r>
      <rPr>
        <sz val="11"/>
        <color rgb="FF37352F"/>
        <rFont val="Noto Sans CJK SC"/>
        <charset val="1"/>
      </rPr>
      <t>·2K</t>
    </r>
  </si>
  <si>
    <r>
      <rPr>
        <sz val="11"/>
        <color rgb="FF37352F"/>
        <rFont val="Linux Libertine G"/>
        <charset val="134"/>
      </rPr>
      <t>视频生成</t>
    </r>
    <r>
      <rPr>
        <sz val="11"/>
        <color rgb="FF37352F"/>
        <rFont val="Noto Sans CJK SC"/>
        <charset val="1"/>
      </rPr>
      <t>·</t>
    </r>
    <r>
      <rPr>
        <sz val="11"/>
        <color rgb="FF37352F"/>
        <rFont val="Linux Libertine G"/>
        <charset val="134"/>
      </rPr>
      <t>混合</t>
    </r>
  </si>
  <si>
    <t>内部资料：本表含供应商成本与运营假设，请勿直接发给客户；黄色口径以「运营假设」为准。</t>
  </si>
  <si>
    <t>新旧计费模式对比（单条成品视频口径）</t>
  </si>
  <si>
    <t>一、计费口径变化</t>
  </si>
  <si>
    <t>旧模式</t>
  </si>
  <si>
    <t>新模式（积分制）</t>
  </si>
  <si>
    <r>
      <rPr>
        <sz val="11"/>
        <color rgb="FF37352F"/>
        <rFont val="Noto Sans CJK SC"/>
        <charset val="1"/>
      </rPr>
      <t>10</t>
    </r>
    <r>
      <rPr>
        <sz val="11"/>
        <color rgb="FF37352F"/>
        <rFont val="Linux Libertine G"/>
        <charset val="134"/>
      </rPr>
      <t>元</t>
    </r>
    <r>
      <rPr>
        <sz val="11"/>
        <color rgb="FF37352F"/>
        <rFont val="Noto Sans CJK SC"/>
        <charset val="1"/>
      </rPr>
      <t>/</t>
    </r>
    <r>
      <rPr>
        <sz val="11"/>
        <color rgb="FF37352F"/>
        <rFont val="Linux Libertine G"/>
        <charset val="134"/>
      </rPr>
      <t>次，失败重试重复扣费</t>
    </r>
  </si>
  <si>
    <r>
      <rPr>
        <sz val="11"/>
        <color rgb="FF37352F"/>
        <rFont val="Noto Sans CJK SC"/>
        <charset val="1"/>
      </rPr>
      <t>30</t>
    </r>
    <r>
      <rPr>
        <sz val="11"/>
        <color rgb="FF37352F"/>
        <rFont val="Linux Libertine G"/>
        <charset val="134"/>
      </rPr>
      <t>积分</t>
    </r>
    <r>
      <rPr>
        <sz val="11"/>
        <color rgb="FF37352F"/>
        <rFont val="Noto Sans CJK SC"/>
        <charset val="1"/>
      </rPr>
      <t>/</t>
    </r>
    <r>
      <rPr>
        <sz val="11"/>
        <color rgb="FF37352F"/>
        <rFont val="Linux Libertine G"/>
        <charset val="134"/>
      </rPr>
      <t>条，失败自动返还</t>
    </r>
  </si>
  <si>
    <t>未单独计费</t>
  </si>
  <si>
    <r>
      <rPr>
        <sz val="11"/>
        <color rgb="FF37352F"/>
        <rFont val="Noto Sans CJK SC"/>
        <charset val="1"/>
      </rPr>
      <t>1</t>
    </r>
    <r>
      <rPr>
        <sz val="11"/>
        <color rgb="FF37352F"/>
        <rFont val="Linux Libertine G"/>
        <charset val="134"/>
      </rPr>
      <t>积分</t>
    </r>
    <r>
      <rPr>
        <sz val="11"/>
        <color rgb="FF37352F"/>
        <rFont val="Noto Sans CJK SC"/>
        <charset val="1"/>
      </rPr>
      <t>/</t>
    </r>
    <r>
      <rPr>
        <sz val="11"/>
        <color rgb="FF37352F"/>
        <rFont val="Linux Libertine G"/>
        <charset val="134"/>
      </rPr>
      <t>张</t>
    </r>
  </si>
  <si>
    <r>
      <rPr>
        <sz val="11"/>
        <color rgb="FF37352F"/>
        <rFont val="Noto Sans CJK SC"/>
        <charset val="1"/>
      </rPr>
      <t>1</t>
    </r>
    <r>
      <rPr>
        <sz val="11"/>
        <color rgb="FF37352F"/>
        <rFont val="Linux Libertine G"/>
        <charset val="134"/>
      </rPr>
      <t>积分</t>
    </r>
    <r>
      <rPr>
        <sz val="11"/>
        <color rgb="FF37352F"/>
        <rFont val="Noto Sans CJK SC"/>
        <charset val="1"/>
      </rPr>
      <t>/</t>
    </r>
    <r>
      <rPr>
        <sz val="11"/>
        <color rgb="FF37352F"/>
        <rFont val="Linux Libertine G"/>
        <charset val="134"/>
      </rPr>
      <t>次</t>
    </r>
  </si>
  <si>
    <r>
      <rPr>
        <sz val="11"/>
        <color rgb="FF1B2A4A"/>
        <rFont val="Linux Libertine G"/>
        <charset val="134"/>
      </rPr>
      <t>二、单条成品视频经济性对比（混合分辨率，成本含</t>
    </r>
    <r>
      <rPr>
        <sz val="11"/>
        <color rgb="FF1B2A4A"/>
        <rFont val="Noto Sans CJK SC"/>
        <charset val="1"/>
      </rPr>
      <t>15%</t>
    </r>
    <r>
      <rPr>
        <sz val="11"/>
        <color rgb="FF1B2A4A"/>
        <rFont val="Linux Libertine G"/>
        <charset val="134"/>
      </rPr>
      <t>重试）</t>
    </r>
  </si>
  <si>
    <t>模式</t>
  </si>
  <si>
    <r>
      <rPr>
        <sz val="11"/>
        <color rgb="FFFFFFFF"/>
        <rFont val="Linux Libertine G"/>
        <charset val="134"/>
      </rPr>
      <t>客户消耗</t>
    </r>
    <r>
      <rPr>
        <sz val="11"/>
        <color rgb="FFFFFFFF"/>
        <rFont val="Noto Sans CJK SC"/>
        <charset val="1"/>
      </rPr>
      <t>/</t>
    </r>
    <r>
      <rPr>
        <sz val="11"/>
        <color rgb="FFFFFFFF"/>
        <rFont val="Linux Libertine G"/>
        <charset val="134"/>
      </rPr>
      <t>支付</t>
    </r>
  </si>
  <si>
    <r>
      <rPr>
        <sz val="11"/>
        <color rgb="FFFFFFFF"/>
        <rFont val="Linux Libertine G"/>
        <charset val="134"/>
      </rPr>
      <t>我方实收</t>
    </r>
    <r>
      <rPr>
        <sz val="11"/>
        <color rgb="FFFFFFFF"/>
        <rFont val="Noto Sans CJK SC"/>
        <charset val="1"/>
      </rPr>
      <t>(</t>
    </r>
    <r>
      <rPr>
        <sz val="11"/>
        <color rgb="FFFFFFFF"/>
        <rFont val="Linux Libertine G"/>
        <charset val="134"/>
      </rPr>
      <t>元</t>
    </r>
    <r>
      <rPr>
        <sz val="11"/>
        <color rgb="FFFFFFFF"/>
        <rFont val="Noto Sans CJK SC"/>
        <charset val="1"/>
      </rPr>
      <t>)</t>
    </r>
  </si>
  <si>
    <r>
      <rPr>
        <sz val="11"/>
        <color rgb="FFFFFFFF"/>
        <rFont val="Linux Libertine G"/>
        <charset val="134"/>
      </rPr>
      <t>我方成本</t>
    </r>
    <r>
      <rPr>
        <sz val="11"/>
        <color rgb="FFFFFFFF"/>
        <rFont val="Noto Sans CJK SC"/>
        <charset val="1"/>
      </rPr>
      <t>(</t>
    </r>
    <r>
      <rPr>
        <sz val="11"/>
        <color rgb="FFFFFFFF"/>
        <rFont val="Linux Libertine G"/>
        <charset val="134"/>
      </rPr>
      <t>元</t>
    </r>
    <r>
      <rPr>
        <sz val="11"/>
        <color rgb="FFFFFFFF"/>
        <rFont val="Noto Sans CJK SC"/>
        <charset val="1"/>
      </rPr>
      <t>)</t>
    </r>
  </si>
  <si>
    <r>
      <rPr>
        <sz val="11"/>
        <color rgb="FFFFFFFF"/>
        <rFont val="Linux Libertine G"/>
        <charset val="134"/>
      </rPr>
      <t>单条毛利</t>
    </r>
    <r>
      <rPr>
        <sz val="11"/>
        <color rgb="FFFFFFFF"/>
        <rFont val="Noto Sans CJK SC"/>
        <charset val="1"/>
      </rPr>
      <t>(</t>
    </r>
    <r>
      <rPr>
        <sz val="11"/>
        <color rgb="FFFFFFFF"/>
        <rFont val="Linux Libertine G"/>
        <charset val="134"/>
      </rPr>
      <t>元</t>
    </r>
    <r>
      <rPr>
        <sz val="11"/>
        <color rgb="FFFFFFFF"/>
        <rFont val="Noto Sans CJK SC"/>
        <charset val="1"/>
      </rPr>
      <t>)</t>
    </r>
  </si>
  <si>
    <t>毛利率</t>
  </si>
  <si>
    <r>
      <rPr>
        <sz val="11"/>
        <color rgb="FFFFFFFF"/>
        <rFont val="Linux Libertine G"/>
        <charset val="134"/>
      </rPr>
      <t>毛利倍数</t>
    </r>
    <r>
      <rPr>
        <sz val="11"/>
        <color rgb="FFFFFFFF"/>
        <rFont val="Noto Sans CJK SC"/>
        <charset val="1"/>
      </rPr>
      <t>(vs</t>
    </r>
    <r>
      <rPr>
        <sz val="11"/>
        <color rgb="FFFFFFFF"/>
        <rFont val="Linux Libertine G"/>
        <charset val="134"/>
      </rPr>
      <t>旧</t>
    </r>
    <r>
      <rPr>
        <sz val="11"/>
        <color rgb="FFFFFFFF"/>
        <rFont val="Noto Sans CJK SC"/>
        <charset val="1"/>
      </rPr>
      <t>)</t>
    </r>
  </si>
  <si>
    <r>
      <rPr>
        <sz val="11"/>
        <color rgb="FF37352F"/>
        <rFont val="Linux Libertine G"/>
        <charset val="134"/>
      </rPr>
      <t xml:space="preserve">旧模式 </t>
    </r>
    <r>
      <rPr>
        <sz val="11"/>
        <color rgb="FF37352F"/>
        <rFont val="Noto Sans CJK SC"/>
        <charset val="1"/>
      </rPr>
      <t>10</t>
    </r>
    <r>
      <rPr>
        <sz val="11"/>
        <color rgb="FF37352F"/>
        <rFont val="Linux Libertine G"/>
        <charset val="134"/>
      </rPr>
      <t>元</t>
    </r>
    <r>
      <rPr>
        <sz val="11"/>
        <color rgb="FF37352F"/>
        <rFont val="Noto Sans CJK SC"/>
        <charset val="1"/>
      </rPr>
      <t>/</t>
    </r>
    <r>
      <rPr>
        <sz val="11"/>
        <color rgb="FF37352F"/>
        <rFont val="Linux Libertine G"/>
        <charset val="134"/>
      </rPr>
      <t>次</t>
    </r>
  </si>
  <si>
    <r>
      <rPr>
        <sz val="11"/>
        <color rgb="FF37352F"/>
        <rFont val="Noto Sans CJK SC"/>
        <charset val="1"/>
      </rPr>
      <t xml:space="preserve">10 </t>
    </r>
    <r>
      <rPr>
        <sz val="11"/>
        <color rgb="FF37352F"/>
        <rFont val="Linux Libertine G"/>
        <charset val="134"/>
      </rPr>
      <t>元</t>
    </r>
    <r>
      <rPr>
        <sz val="11"/>
        <color rgb="FF37352F"/>
        <rFont val="Noto Sans CJK SC"/>
        <charset val="1"/>
      </rPr>
      <t>/</t>
    </r>
    <r>
      <rPr>
        <sz val="11"/>
        <color rgb="FF37352F"/>
        <rFont val="Linux Libertine G"/>
        <charset val="134"/>
      </rPr>
      <t>条（图片、分析不收费）</t>
    </r>
  </si>
  <si>
    <r>
      <rPr>
        <sz val="11"/>
        <color rgb="FF37352F"/>
        <rFont val="Linux Libertine G"/>
        <charset val="134"/>
      </rPr>
      <t>新模式</t>
    </r>
    <r>
      <rPr>
        <sz val="11"/>
        <color rgb="FF37352F"/>
        <rFont val="Noto Sans CJK SC"/>
        <charset val="1"/>
      </rPr>
      <t>·</t>
    </r>
    <r>
      <rPr>
        <sz val="11"/>
        <color rgb="FF37352F"/>
        <rFont val="Linux Libertine G"/>
        <charset val="134"/>
      </rPr>
      <t>面值</t>
    </r>
  </si>
  <si>
    <r>
      <rPr>
        <sz val="11"/>
        <color rgb="FF37352F"/>
        <rFont val="Linux Libertine G"/>
        <charset val="134"/>
      </rPr>
      <t>新模式</t>
    </r>
    <r>
      <rPr>
        <sz val="11"/>
        <color rgb="FF37352F"/>
        <rFont val="Noto Sans CJK SC"/>
        <charset val="1"/>
      </rPr>
      <t>·</t>
    </r>
    <r>
      <rPr>
        <sz val="11"/>
        <color rgb="FF37352F"/>
        <rFont val="Linux Libertine G"/>
        <charset val="134"/>
      </rPr>
      <t>标准档</t>
    </r>
    <r>
      <rPr>
        <sz val="11"/>
        <color rgb="FF37352F"/>
        <rFont val="Noto Sans CJK SC"/>
        <charset val="1"/>
      </rPr>
      <t>(1000</t>
    </r>
    <r>
      <rPr>
        <sz val="11"/>
        <color rgb="FF37352F"/>
        <rFont val="Linux Libertine G"/>
        <charset val="134"/>
      </rPr>
      <t>送</t>
    </r>
    <r>
      <rPr>
        <sz val="11"/>
        <color rgb="FF37352F"/>
        <rFont val="Noto Sans CJK SC"/>
        <charset val="1"/>
      </rPr>
      <t>100)</t>
    </r>
  </si>
  <si>
    <r>
      <rPr>
        <sz val="11"/>
        <color rgb="FF37352F"/>
        <rFont val="Linux Libertine G"/>
        <charset val="134"/>
      </rPr>
      <t>新模式</t>
    </r>
    <r>
      <rPr>
        <sz val="11"/>
        <color rgb="FF37352F"/>
        <rFont val="Noto Sans CJK SC"/>
        <charset val="1"/>
      </rPr>
      <t>·</t>
    </r>
    <r>
      <rPr>
        <sz val="11"/>
        <color rgb="FF37352F"/>
        <rFont val="Linux Libertine G"/>
        <charset val="134"/>
      </rPr>
      <t>高级档</t>
    </r>
    <r>
      <rPr>
        <sz val="11"/>
        <color rgb="FF37352F"/>
        <rFont val="Noto Sans CJK SC"/>
        <charset val="1"/>
      </rPr>
      <t>(3000</t>
    </r>
    <r>
      <rPr>
        <sz val="11"/>
        <color rgb="FF37352F"/>
        <rFont val="Linux Libertine G"/>
        <charset val="134"/>
      </rPr>
      <t>送</t>
    </r>
    <r>
      <rPr>
        <sz val="11"/>
        <color rgb="FF37352F"/>
        <rFont val="Noto Sans CJK SC"/>
        <charset val="1"/>
      </rPr>
      <t>500)</t>
    </r>
  </si>
  <si>
    <t>三、单条毛利对比图</t>
  </si>
  <si>
    <t>按当前参数联动刷新；口径见上表。</t>
  </si>
  <si>
    <t>内部资料：含成本与毛利数据，请勿直接发给客户。</t>
  </si>
  <si>
    <t>客户销售成本统计表（按充值账期）</t>
  </si>
  <si>
    <r>
      <rPr>
        <sz val="9"/>
        <color rgb="FF8C8A84"/>
        <rFont val="Linux Libertine G"/>
        <charset val="134"/>
      </rPr>
      <t>录入列：客户名称、充值日期、充值金额、赠送积分、四类用量；其余列自动计算。示例行（客户</t>
    </r>
    <r>
      <rPr>
        <sz val="9"/>
        <color rgb="FF8C8A84"/>
        <rFont val="Noto Sans CJK SC"/>
        <charset val="1"/>
      </rPr>
      <t>A/B/C</t>
    </r>
    <r>
      <rPr>
        <sz val="9"/>
        <color rgb="FF8C8A84"/>
        <rFont val="Linux Libertine G"/>
        <charset val="134"/>
      </rPr>
      <t>）可直接覆盖。</t>
    </r>
  </si>
  <si>
    <t>客户名称</t>
  </si>
  <si>
    <t>充值日期</t>
  </si>
  <si>
    <t>积分实际单价</t>
  </si>
  <si>
    <r>
      <rPr>
        <sz val="11"/>
        <color rgb="FFFFFFFF"/>
        <rFont val="Linux Libertine G"/>
        <charset val="134"/>
      </rPr>
      <t>视频</t>
    </r>
    <r>
      <rPr>
        <sz val="11"/>
        <color rgb="FFFFFFFF"/>
        <rFont val="Noto Sans CJK SC"/>
        <charset val="1"/>
      </rPr>
      <t>768P(</t>
    </r>
    <r>
      <rPr>
        <sz val="11"/>
        <color rgb="FFFFFFFF"/>
        <rFont val="Linux Libertine G"/>
        <charset val="134"/>
      </rPr>
      <t>条</t>
    </r>
    <r>
      <rPr>
        <sz val="11"/>
        <color rgb="FFFFFFFF"/>
        <rFont val="Noto Sans CJK SC"/>
        <charset val="1"/>
      </rPr>
      <t>)</t>
    </r>
  </si>
  <si>
    <r>
      <rPr>
        <sz val="11"/>
        <color rgb="FFFFFFFF"/>
        <rFont val="Linux Libertine G"/>
        <charset val="134"/>
      </rPr>
      <t>视频</t>
    </r>
    <r>
      <rPr>
        <sz val="11"/>
        <color rgb="FFFFFFFF"/>
        <rFont val="Noto Sans CJK SC"/>
        <charset val="1"/>
      </rPr>
      <t>2K(</t>
    </r>
    <r>
      <rPr>
        <sz val="11"/>
        <color rgb="FFFFFFFF"/>
        <rFont val="Linux Libertine G"/>
        <charset val="134"/>
      </rPr>
      <t>条</t>
    </r>
    <r>
      <rPr>
        <sz val="11"/>
        <color rgb="FFFFFFFF"/>
        <rFont val="Noto Sans CJK SC"/>
        <charset val="1"/>
      </rPr>
      <t>)</t>
    </r>
  </si>
  <si>
    <r>
      <rPr>
        <sz val="11"/>
        <color rgb="FFFFFFFF"/>
        <rFont val="Linux Libertine G"/>
        <charset val="134"/>
      </rPr>
      <t>图片</t>
    </r>
    <r>
      <rPr>
        <sz val="11"/>
        <color rgb="FFFFFFFF"/>
        <rFont val="Noto Sans CJK SC"/>
        <charset val="1"/>
      </rPr>
      <t>(</t>
    </r>
    <r>
      <rPr>
        <sz val="11"/>
        <color rgb="FFFFFFFF"/>
        <rFont val="Linux Libertine G"/>
        <charset val="134"/>
      </rPr>
      <t>张</t>
    </r>
    <r>
      <rPr>
        <sz val="11"/>
        <color rgb="FFFFFFFF"/>
        <rFont val="Noto Sans CJK SC"/>
        <charset val="1"/>
      </rPr>
      <t>)</t>
    </r>
  </si>
  <si>
    <r>
      <rPr>
        <sz val="11"/>
        <color rgb="FFFFFFFF"/>
        <rFont val="Linux Libertine G"/>
        <charset val="134"/>
      </rPr>
      <t>分析</t>
    </r>
    <r>
      <rPr>
        <sz val="11"/>
        <color rgb="FFFFFFFF"/>
        <rFont val="Noto Sans CJK SC"/>
        <charset val="1"/>
      </rPr>
      <t>(</t>
    </r>
    <r>
      <rPr>
        <sz val="11"/>
        <color rgb="FFFFFFFF"/>
        <rFont val="Linux Libertine G"/>
        <charset val="134"/>
      </rPr>
      <t>次</t>
    </r>
    <r>
      <rPr>
        <sz val="11"/>
        <color rgb="FFFFFFFF"/>
        <rFont val="Noto Sans CJK SC"/>
        <charset val="1"/>
      </rPr>
      <t>)</t>
    </r>
  </si>
  <si>
    <t>累计消耗积分</t>
  </si>
  <si>
    <t>剩余积分</t>
  </si>
  <si>
    <r>
      <rPr>
        <sz val="11"/>
        <color rgb="FFFFFFFF"/>
        <rFont val="Linux Libertine G"/>
        <charset val="134"/>
      </rPr>
      <t>实收现金</t>
    </r>
    <r>
      <rPr>
        <sz val="11"/>
        <color rgb="FFFFFFFF"/>
        <rFont val="Noto Sans CJK SC"/>
        <charset val="1"/>
      </rPr>
      <t>(</t>
    </r>
    <r>
      <rPr>
        <sz val="11"/>
        <color rgb="FFFFFFFF"/>
        <rFont val="Linux Libertine G"/>
        <charset val="134"/>
      </rPr>
      <t>元</t>
    </r>
    <r>
      <rPr>
        <sz val="11"/>
        <color rgb="FFFFFFFF"/>
        <rFont val="Noto Sans CJK SC"/>
        <charset val="1"/>
      </rPr>
      <t>)</t>
    </r>
  </si>
  <si>
    <r>
      <rPr>
        <sz val="11"/>
        <color rgb="FFFFFFFF"/>
        <rFont val="Linux Libertine G"/>
        <charset val="134"/>
      </rPr>
      <t>已确认收入</t>
    </r>
    <r>
      <rPr>
        <sz val="11"/>
        <color rgb="FFFFFFFF"/>
        <rFont val="Noto Sans CJK SC"/>
        <charset val="1"/>
      </rPr>
      <t>(</t>
    </r>
    <r>
      <rPr>
        <sz val="11"/>
        <color rgb="FFFFFFFF"/>
        <rFont val="Linux Libertine G"/>
        <charset val="134"/>
      </rPr>
      <t>元</t>
    </r>
    <r>
      <rPr>
        <sz val="11"/>
        <color rgb="FFFFFFFF"/>
        <rFont val="Noto Sans CJK SC"/>
        <charset val="1"/>
      </rPr>
      <t>)</t>
    </r>
  </si>
  <si>
    <r>
      <rPr>
        <sz val="11"/>
        <color rgb="FFFFFFFF"/>
        <rFont val="Linux Libertine G"/>
        <charset val="134"/>
      </rPr>
      <t>实际成本</t>
    </r>
    <r>
      <rPr>
        <sz val="11"/>
        <color rgb="FFFFFFFF"/>
        <rFont val="Noto Sans CJK SC"/>
        <charset val="1"/>
      </rPr>
      <t>(</t>
    </r>
    <r>
      <rPr>
        <sz val="11"/>
        <color rgb="FFFFFFFF"/>
        <rFont val="Linux Libertine G"/>
        <charset val="134"/>
      </rPr>
      <t>元</t>
    </r>
    <r>
      <rPr>
        <sz val="11"/>
        <color rgb="FFFFFFFF"/>
        <rFont val="Noto Sans CJK SC"/>
        <charset val="1"/>
      </rPr>
      <t>)</t>
    </r>
  </si>
  <si>
    <r>
      <rPr>
        <sz val="11"/>
        <color rgb="FFFFFFFF"/>
        <rFont val="Linux Libertine G"/>
        <charset val="134"/>
      </rPr>
      <t>毛利</t>
    </r>
    <r>
      <rPr>
        <sz val="11"/>
        <color rgb="FFFFFFFF"/>
        <rFont val="Noto Sans CJK SC"/>
        <charset val="1"/>
      </rPr>
      <t>(</t>
    </r>
    <r>
      <rPr>
        <sz val="11"/>
        <color rgb="FFFFFFFF"/>
        <rFont val="Linux Libertine G"/>
        <charset val="134"/>
      </rPr>
      <t>元</t>
    </r>
    <r>
      <rPr>
        <sz val="11"/>
        <color rgb="FFFFFFFF"/>
        <rFont val="Noto Sans CJK SC"/>
        <charset val="1"/>
      </rPr>
      <t>)</t>
    </r>
  </si>
  <si>
    <t>备注</t>
  </si>
  <si>
    <r>
      <rPr>
        <sz val="11"/>
        <color rgb="FF37352F"/>
        <rFont val="Linux Libertine G"/>
        <charset val="134"/>
      </rPr>
      <t>客户</t>
    </r>
    <r>
      <rPr>
        <sz val="11"/>
        <color rgb="FF37352F"/>
        <rFont val="Noto Sans CJK SC"/>
        <charset val="1"/>
      </rPr>
      <t>A</t>
    </r>
    <r>
      <rPr>
        <sz val="11"/>
        <color rgb="FF37352F"/>
        <rFont val="Linux Libertine G"/>
        <charset val="134"/>
      </rPr>
      <t>（示例）</t>
    </r>
  </si>
  <si>
    <r>
      <rPr>
        <sz val="11"/>
        <color rgb="FF37352F"/>
        <rFont val="Linux Libertine G"/>
        <charset val="134"/>
      </rPr>
      <t>客户</t>
    </r>
    <r>
      <rPr>
        <sz val="11"/>
        <color rgb="FF37352F"/>
        <rFont val="Noto Sans CJK SC"/>
        <charset val="1"/>
      </rPr>
      <t>B</t>
    </r>
    <r>
      <rPr>
        <sz val="11"/>
        <color rgb="FF37352F"/>
        <rFont val="Linux Libertine G"/>
        <charset val="134"/>
      </rPr>
      <t>（示例）</t>
    </r>
  </si>
  <si>
    <r>
      <rPr>
        <sz val="11"/>
        <color rgb="FF37352F"/>
        <rFont val="Linux Libertine G"/>
        <charset val="134"/>
      </rPr>
      <t>客户</t>
    </r>
    <r>
      <rPr>
        <sz val="11"/>
        <color rgb="FF37352F"/>
        <rFont val="Noto Sans CJK SC"/>
        <charset val="1"/>
      </rPr>
      <t>C</t>
    </r>
    <r>
      <rPr>
        <sz val="11"/>
        <color rgb="FF37352F"/>
        <rFont val="Linux Libertine G"/>
        <charset val="134"/>
      </rPr>
      <t>（示例）</t>
    </r>
  </si>
  <si>
    <t>合计</t>
  </si>
  <si>
    <r>
      <rPr>
        <sz val="9"/>
        <color rgb="FF8C8A84"/>
        <rFont val="Linux Libertine G"/>
        <charset val="134"/>
      </rPr>
      <t>口径说明：「已确认收入」＝累计消耗积分</t>
    </r>
    <r>
      <rPr>
        <sz val="9"/>
        <color rgb="FF8C8A84"/>
        <rFont val="Noto Sans CJK SC"/>
        <charset val="1"/>
      </rPr>
      <t>×</t>
    </r>
    <r>
      <rPr>
        <sz val="9"/>
        <color rgb="FF8C8A84"/>
        <rFont val="Linux Libertine G"/>
        <charset val="134"/>
      </rPr>
      <t>积分实际单价（与成本同期配比）；「实收现金」以充值金额为准，未消耗部分（剩余积分）为预收负债。</t>
    </r>
  </si>
  <si>
    <r>
      <rPr>
        <sz val="9"/>
        <color rgb="FF8C8A84"/>
        <rFont val="Linux Libertine G"/>
        <charset val="134"/>
      </rPr>
      <t>成本口径：视频成本含失败重试准备金（默认</t>
    </r>
    <r>
      <rPr>
        <sz val="9"/>
        <color rgb="FF8C8A84"/>
        <rFont val="Noto Sans CJK SC"/>
        <charset val="1"/>
      </rPr>
      <t>15%</t>
    </r>
    <r>
      <rPr>
        <sz val="9"/>
        <color rgb="FF8C8A84"/>
        <rFont val="Linux Libertine G"/>
        <charset val="134"/>
      </rPr>
      <t>）；图片</t>
    </r>
    <r>
      <rPr>
        <sz val="9"/>
        <color rgb="FF8C8A84"/>
        <rFont val="Noto Sans CJK SC"/>
        <charset val="1"/>
      </rPr>
      <t>/</t>
    </r>
    <r>
      <rPr>
        <sz val="9"/>
        <color rgb="FF8C8A84"/>
        <rFont val="Linux Libertine G"/>
        <charset val="134"/>
      </rPr>
      <t>分析成本为待校准假设，参数集中在「成本与毛利测算」表调整。</t>
    </r>
  </si>
  <si>
    <r>
      <rPr>
        <sz val="9"/>
        <color rgb="FF8C8A84"/>
        <rFont val="Linux Libertine G"/>
        <charset val="134"/>
      </rPr>
      <t xml:space="preserve">新增客户：在示例行下方插入行并下拉 </t>
    </r>
    <r>
      <rPr>
        <sz val="9"/>
        <color rgb="FF8C8A84"/>
        <rFont val="Noto Sans CJK SC"/>
        <charset val="1"/>
      </rPr>
      <t xml:space="preserve">F–R </t>
    </r>
    <r>
      <rPr>
        <sz val="9"/>
        <color rgb="FF8C8A84"/>
        <rFont val="Linux Libertine G"/>
        <charset val="134"/>
      </rPr>
      <t>列公式；「剩余积分」为负表示超耗，自动红色提示。</t>
    </r>
  </si>
  <si>
    <t>Check</t>
  </si>
  <si>
    <t>Expected</t>
  </si>
  <si>
    <t>Actual</t>
  </si>
  <si>
    <t>Status</t>
  </si>
  <si>
    <r>
      <rPr>
        <sz val="11"/>
        <color theme="1"/>
        <rFont val="Linux Libertine G"/>
        <charset val="134"/>
      </rPr>
      <t>客户统计</t>
    </r>
    <r>
      <rPr>
        <sz val="11"/>
        <color theme="1"/>
        <rFont val="Calibri"/>
        <charset val="1"/>
      </rPr>
      <t>-</t>
    </r>
    <r>
      <rPr>
        <sz val="11"/>
        <color theme="1"/>
        <rFont val="Linux Libertine G"/>
        <charset val="134"/>
      </rPr>
      <t>到账积分合计</t>
    </r>
  </si>
  <si>
    <r>
      <rPr>
        <sz val="11"/>
        <color theme="1"/>
        <rFont val="Linux Libertine G"/>
        <charset val="134"/>
      </rPr>
      <t>客户统计</t>
    </r>
    <r>
      <rPr>
        <sz val="11"/>
        <color theme="1"/>
        <rFont val="Calibri"/>
        <charset val="1"/>
      </rPr>
      <t>-</t>
    </r>
    <r>
      <rPr>
        <sz val="11"/>
        <color theme="1"/>
        <rFont val="Linux Libertine G"/>
        <charset val="134"/>
      </rPr>
      <t>消耗积分合计</t>
    </r>
  </si>
  <si>
    <r>
      <rPr>
        <sz val="11"/>
        <color theme="1"/>
        <rFont val="Linux Libertine G"/>
        <charset val="134"/>
      </rPr>
      <t>客户统计</t>
    </r>
    <r>
      <rPr>
        <sz val="11"/>
        <color theme="1"/>
        <rFont val="Calibri"/>
        <charset val="1"/>
      </rPr>
      <t>-</t>
    </r>
    <r>
      <rPr>
        <sz val="11"/>
        <color theme="1"/>
        <rFont val="Linux Libertine G"/>
        <charset val="134"/>
      </rPr>
      <t>毛利合计</t>
    </r>
  </si>
  <si>
    <r>
      <rPr>
        <sz val="11"/>
        <color theme="1"/>
        <rFont val="Linux Libertine G"/>
        <charset val="134"/>
      </rPr>
      <t>全流程消耗积分</t>
    </r>
    <r>
      <rPr>
        <sz val="11"/>
        <color theme="1"/>
        <rFont val="Calibri"/>
        <charset val="1"/>
      </rPr>
      <t>=39</t>
    </r>
  </si>
  <si>
    <t>全流程总成本</t>
  </si>
  <si>
    <r>
      <rPr>
        <sz val="11"/>
        <color theme="1"/>
        <rFont val="Linux Libertine G"/>
        <charset val="134"/>
      </rPr>
      <t>视频</t>
    </r>
    <r>
      <rPr>
        <sz val="11"/>
        <color theme="1"/>
        <rFont val="Calibri"/>
        <charset val="1"/>
      </rPr>
      <t>768P</t>
    </r>
    <r>
      <rPr>
        <sz val="11"/>
        <color theme="1"/>
        <rFont val="Linux Libertine G"/>
        <charset val="134"/>
      </rPr>
      <t>面值毛利</t>
    </r>
  </si>
  <si>
    <t>对比表新模式面值毛利一致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</si>
</sst>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"/>
    <numFmt numFmtId="177" formatCode="yyyy\-mm\-dd"/>
    <numFmt numFmtId="178" formatCode="0.0000"/>
    <numFmt numFmtId="179" formatCode="0.0%"/>
    <numFmt numFmtId="180" formatCode="0.0"/>
  </numFmts>
  <fonts count="35">
    <font>
      <sz val="11"/>
      <color theme="1"/>
      <name val="Linux Libertine G"/>
      <charset val="134"/>
    </font>
    <font>
      <sz val="11"/>
      <color theme="1"/>
      <name val="Calibri"/>
      <charset val="1"/>
    </font>
    <font>
      <sz val="16"/>
      <color rgb="FF1B2A4A"/>
      <name val="Linux Libertine G"/>
      <charset val="134"/>
    </font>
    <font>
      <sz val="9"/>
      <color rgb="FF8C8A84"/>
      <name val="Linux Libertine G"/>
      <charset val="134"/>
    </font>
    <font>
      <sz val="11"/>
      <color rgb="FFFFFFFF"/>
      <name val="Linux Libertine G"/>
      <charset val="134"/>
    </font>
    <font>
      <sz val="11"/>
      <color rgb="FF37352F"/>
      <name val="Linux Libertine G"/>
      <charset val="134"/>
    </font>
    <font>
      <sz val="11"/>
      <color rgb="FF37352F"/>
      <name val="Noto Sans CJK SC"/>
      <charset val="1"/>
    </font>
    <font>
      <sz val="11"/>
      <color rgb="FF1B2A4A"/>
      <name val="Linux Libertine G"/>
      <charset val="134"/>
    </font>
    <font>
      <sz val="11"/>
      <color rgb="FF1B2A4A"/>
      <name val="Noto Sans CJK SC"/>
      <charset val="1"/>
    </font>
    <font>
      <sz val="11"/>
      <color rgb="FFFFFFFF"/>
      <name val="Noto Sans CJK SC"/>
      <charset val="1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rgb="FF8C8A84"/>
      <name val="Noto Sans CJK SC"/>
      <charset val="1"/>
    </font>
    <font>
      <sz val="11"/>
      <color rgb="FF37352F"/>
      <name val="Linux Libertine G"/>
      <charset val="1"/>
    </font>
    <font>
      <sz val="11"/>
      <color rgb="FF37352F"/>
      <name val="Noto Sans CJK SC"/>
      <charset val="134"/>
    </font>
    <font>
      <sz val="16"/>
      <color rgb="FF1B2A4A"/>
      <name val="Noto Sans CJK SC"/>
      <charset val="1"/>
    </font>
  </fonts>
  <fills count="39">
    <fill>
      <patternFill patternType="none"/>
    </fill>
    <fill>
      <patternFill patternType="gray125"/>
    </fill>
    <fill>
      <patternFill patternType="solid">
        <fgColor rgb="FF1B2A4A"/>
        <bgColor rgb="FF37352F"/>
      </patternFill>
    </fill>
    <fill>
      <patternFill patternType="solid">
        <fgColor rgb="FFFFFFFF"/>
        <bgColor rgb="FFF7F7F5"/>
      </patternFill>
    </fill>
    <fill>
      <patternFill patternType="solid">
        <fgColor rgb="FFF7F7F5"/>
        <bgColor rgb="FFFFFFFF"/>
      </patternFill>
    </fill>
    <fill>
      <patternFill patternType="solid">
        <fgColor rgb="FFD6E4F0"/>
        <bgColor rgb="FFE9E9E8"/>
      </patternFill>
    </fill>
    <fill>
      <patternFill patternType="solid">
        <fgColor rgb="FFFFC000"/>
        <bgColor rgb="FFF7F7F5"/>
      </patternFill>
    </fill>
    <fill>
      <patternFill patternType="solid">
        <fgColor rgb="FFFFC000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E9E9E8"/>
      </bottom>
      <diagonal/>
    </border>
    <border>
      <left/>
      <right/>
      <top style="medium">
        <color rgb="FFE9E9E8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Border="0" applyAlignment="0" applyProtection="0"/>
    <xf numFmtId="44" fontId="10" fillId="0" borderId="0" applyBorder="0" applyAlignment="0" applyProtection="0"/>
    <xf numFmtId="9" fontId="10" fillId="0" borderId="0" applyBorder="0" applyAlignment="0" applyProtection="0"/>
    <xf numFmtId="41" fontId="10" fillId="0" borderId="0" applyBorder="0" applyAlignment="0" applyProtection="0"/>
    <xf numFmtId="42" fontId="10" fillId="0" borderId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6" applyNumberFormat="0" applyAlignment="0" applyProtection="0">
      <alignment vertical="center"/>
    </xf>
    <xf numFmtId="0" fontId="21" fillId="10" borderId="7" applyNumberFormat="0" applyAlignment="0" applyProtection="0">
      <alignment vertical="center"/>
    </xf>
    <xf numFmtId="0" fontId="22" fillId="10" borderId="6" applyNumberFormat="0" applyAlignment="0" applyProtection="0">
      <alignment vertical="center"/>
    </xf>
    <xf numFmtId="0" fontId="23" fillId="11" borderId="8" applyNumberFormat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</cellStyleXfs>
  <cellXfs count="38">
    <xf numFmtId="0" fontId="0" fillId="0" borderId="0" xfId="0"/>
    <xf numFmtId="0" fontId="0" fillId="0" borderId="0" xfId="0" applyAlignment="1" applyProtection="1"/>
    <xf numFmtId="0" fontId="1" fillId="0" borderId="0" xfId="0" applyFont="1" applyAlignment="1" applyProtection="1"/>
    <xf numFmtId="3" fontId="1" fillId="0" borderId="0" xfId="0" applyNumberFormat="1" applyFont="1" applyAlignment="1" applyProtection="1"/>
    <xf numFmtId="176" fontId="1" fillId="0" borderId="0" xfId="0" applyNumberFormat="1" applyFont="1" applyAlignment="1" applyProtection="1"/>
    <xf numFmtId="0" fontId="2" fillId="0" borderId="0" xfId="0" applyFont="1" applyBorder="1" applyAlignment="1" applyProtection="1">
      <alignment horizontal="left" vertical="center"/>
    </xf>
    <xf numFmtId="0" fontId="3" fillId="0" borderId="0" xfId="0" applyFont="1" applyBorder="1" applyAlignment="1" applyProtection="1">
      <alignment horizontal="left" vertical="center" wrapText="1"/>
    </xf>
    <xf numFmtId="0" fontId="4" fillId="2" borderId="1" xfId="0" applyFont="1" applyFill="1" applyBorder="1" applyAlignment="1" applyProtection="1">
      <alignment horizontal="center" vertical="center" wrapText="1"/>
    </xf>
    <xf numFmtId="0" fontId="5" fillId="3" borderId="0" xfId="0" applyFont="1" applyFill="1" applyAlignment="1" applyProtection="1">
      <alignment horizontal="left" vertical="center" wrapText="1"/>
    </xf>
    <xf numFmtId="177" fontId="6" fillId="3" borderId="0" xfId="0" applyNumberFormat="1" applyFont="1" applyFill="1" applyAlignment="1" applyProtection="1">
      <alignment horizontal="center" vertical="center" wrapText="1"/>
    </xf>
    <xf numFmtId="176" fontId="6" fillId="3" borderId="0" xfId="0" applyNumberFormat="1" applyFont="1" applyFill="1" applyAlignment="1" applyProtection="1">
      <alignment horizontal="right" vertical="center" wrapText="1"/>
    </xf>
    <xf numFmtId="3" fontId="6" fillId="3" borderId="0" xfId="0" applyNumberFormat="1" applyFont="1" applyFill="1" applyAlignment="1" applyProtection="1">
      <alignment horizontal="right" vertical="center" wrapText="1"/>
    </xf>
    <xf numFmtId="178" fontId="6" fillId="3" borderId="0" xfId="0" applyNumberFormat="1" applyFont="1" applyFill="1" applyAlignment="1" applyProtection="1">
      <alignment horizontal="right" vertical="center" wrapText="1"/>
    </xf>
    <xf numFmtId="179" fontId="6" fillId="3" borderId="0" xfId="0" applyNumberFormat="1" applyFont="1" applyFill="1" applyAlignment="1" applyProtection="1">
      <alignment horizontal="right" vertical="center" wrapText="1"/>
    </xf>
    <xf numFmtId="0" fontId="5" fillId="4" borderId="0" xfId="0" applyFont="1" applyFill="1" applyAlignment="1" applyProtection="1">
      <alignment horizontal="left" vertical="center" wrapText="1"/>
    </xf>
    <xf numFmtId="177" fontId="6" fillId="4" borderId="0" xfId="0" applyNumberFormat="1" applyFont="1" applyFill="1" applyAlignment="1" applyProtection="1">
      <alignment horizontal="center" vertical="center" wrapText="1"/>
    </xf>
    <xf numFmtId="176" fontId="6" fillId="4" borderId="0" xfId="0" applyNumberFormat="1" applyFont="1" applyFill="1" applyAlignment="1" applyProtection="1">
      <alignment horizontal="right" vertical="center" wrapText="1"/>
    </xf>
    <xf numFmtId="3" fontId="6" fillId="4" borderId="0" xfId="0" applyNumberFormat="1" applyFont="1" applyFill="1" applyAlignment="1" applyProtection="1">
      <alignment horizontal="right" vertical="center" wrapText="1"/>
    </xf>
    <xf numFmtId="178" fontId="6" fillId="4" borderId="0" xfId="0" applyNumberFormat="1" applyFont="1" applyFill="1" applyAlignment="1" applyProtection="1">
      <alignment horizontal="right" vertical="center" wrapText="1"/>
    </xf>
    <xf numFmtId="179" fontId="6" fillId="4" borderId="0" xfId="0" applyNumberFormat="1" applyFont="1" applyFill="1" applyAlignment="1" applyProtection="1">
      <alignment horizontal="right" vertical="center" wrapText="1"/>
    </xf>
    <xf numFmtId="0" fontId="7" fillId="5" borderId="2" xfId="0" applyFont="1" applyFill="1" applyBorder="1" applyAlignment="1" applyProtection="1"/>
    <xf numFmtId="177" fontId="7" fillId="5" borderId="2" xfId="0" applyNumberFormat="1" applyFont="1" applyFill="1" applyBorder="1" applyAlignment="1" applyProtection="1">
      <alignment horizontal="center" vertical="center" wrapText="1"/>
    </xf>
    <xf numFmtId="176" fontId="8" fillId="5" borderId="2" xfId="0" applyNumberFormat="1" applyFont="1" applyFill="1" applyBorder="1" applyAlignment="1" applyProtection="1">
      <alignment horizontal="right" vertical="center" wrapText="1"/>
    </xf>
    <xf numFmtId="3" fontId="8" fillId="5" borderId="2" xfId="0" applyNumberFormat="1" applyFont="1" applyFill="1" applyBorder="1" applyAlignment="1" applyProtection="1">
      <alignment horizontal="right" vertical="center" wrapText="1"/>
    </xf>
    <xf numFmtId="178" fontId="8" fillId="5" borderId="2" xfId="0" applyNumberFormat="1" applyFont="1" applyFill="1" applyBorder="1" applyAlignment="1" applyProtection="1">
      <alignment horizontal="right" vertical="center" wrapText="1"/>
    </xf>
    <xf numFmtId="179" fontId="8" fillId="5" borderId="2" xfId="0" applyNumberFormat="1" applyFont="1" applyFill="1" applyBorder="1" applyAlignment="1" applyProtection="1">
      <alignment horizontal="right" vertical="center" wrapText="1"/>
    </xf>
    <xf numFmtId="0" fontId="7" fillId="0" borderId="0" xfId="0" applyFont="1" applyBorder="1" applyAlignment="1" applyProtection="1">
      <alignment horizontal="left" vertical="center"/>
    </xf>
    <xf numFmtId="0" fontId="6" fillId="3" borderId="0" xfId="0" applyFont="1" applyFill="1" applyAlignment="1" applyProtection="1">
      <alignment horizontal="left" vertical="center" wrapText="1"/>
    </xf>
    <xf numFmtId="0" fontId="6" fillId="4" borderId="0" xfId="0" applyFont="1" applyFill="1" applyAlignment="1" applyProtection="1">
      <alignment horizontal="left" vertical="center" wrapText="1"/>
    </xf>
    <xf numFmtId="180" fontId="6" fillId="3" borderId="0" xfId="0" applyNumberFormat="1" applyFont="1" applyFill="1" applyAlignment="1" applyProtection="1">
      <alignment horizontal="right" vertical="center" wrapText="1"/>
    </xf>
    <xf numFmtId="180" fontId="6" fillId="4" borderId="0" xfId="0" applyNumberFormat="1" applyFont="1" applyFill="1" applyAlignment="1" applyProtection="1">
      <alignment horizontal="right" vertical="center" wrapText="1"/>
    </xf>
    <xf numFmtId="4" fontId="6" fillId="3" borderId="0" xfId="0" applyNumberFormat="1" applyFont="1" applyFill="1" applyAlignment="1" applyProtection="1">
      <alignment horizontal="right" vertical="center" wrapText="1"/>
    </xf>
    <xf numFmtId="4" fontId="6" fillId="6" borderId="0" xfId="0" applyNumberFormat="1" applyFont="1" applyFill="1" applyAlignment="1" applyProtection="1">
      <alignment horizontal="right" vertical="center" wrapText="1"/>
    </xf>
    <xf numFmtId="4" fontId="6" fillId="7" borderId="0" xfId="0" applyNumberFormat="1" applyFont="1" applyFill="1" applyAlignment="1" applyProtection="1">
      <alignment horizontal="right" vertical="center" wrapText="1"/>
    </xf>
    <xf numFmtId="179" fontId="6" fillId="7" borderId="0" xfId="0" applyNumberFormat="1" applyFont="1" applyFill="1" applyAlignment="1" applyProtection="1">
      <alignment horizontal="right" vertical="center" wrapText="1"/>
    </xf>
    <xf numFmtId="179" fontId="6" fillId="6" borderId="0" xfId="0" applyNumberFormat="1" applyFont="1" applyFill="1" applyAlignment="1" applyProtection="1">
      <alignment horizontal="right" vertical="center" wrapText="1"/>
    </xf>
    <xf numFmtId="0" fontId="9" fillId="2" borderId="1" xfId="0" applyFont="1" applyFill="1" applyBorder="1" applyAlignment="1" applyProtection="1">
      <alignment horizontal="center" vertical="center" wrapText="1"/>
    </xf>
    <xf numFmtId="0" fontId="6" fillId="0" borderId="0" xfId="0" applyFont="1" applyBorder="1" applyAlignment="1" applyProtection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C0392B"/>
      </font>
      <fill>
        <patternFill patternType="solid">
          <bgColor rgb="FFFDEDE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78787"/>
      <rgbColor rgb="009999FF"/>
      <rgbColor rgb="00993366"/>
      <rgbColor rgb="00F7F7F5"/>
      <rgbColor rgb="00D6E4F0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9E9E8"/>
      <rgbColor rgb="00CCFFCC"/>
      <rgbColor rgb="00FDEDEC"/>
      <rgbColor rgb="0099CCFF"/>
      <rgbColor rgb="00FF99CC"/>
      <rgbColor rgb="00CC99FF"/>
      <rgbColor rgb="00FFCC99"/>
      <rgbColor rgb="003366FF"/>
      <rgbColor rgb="0033CCCC"/>
      <rgbColor rgb="0099CC00"/>
      <rgbColor rgb="00FFC000"/>
      <rgbColor rgb="00FF9900"/>
      <rgbColor rgb="00FF6600"/>
      <rgbColor rgb="00666699"/>
      <rgbColor rgb="008C8A84"/>
      <rgbColor rgb="001B2A4A"/>
      <rgbColor rgb="00339966"/>
      <rgbColor rgb="00003300"/>
      <rgbColor rgb="00333300"/>
      <rgbColor rgb="00C0392B"/>
      <rgbColor rgb="00993366"/>
      <rgbColor rgb="00333399"/>
      <rgbColor rgb="0037352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300" b="0" i="0" u="none" strike="noStrike" kern="1200" baseline="0">
                <a:solidFill>
                  <a:schemeClr val="tx1"/>
                </a:solidFill>
                <a:uFillTx/>
                <a:latin typeface="Arial" panose="020B0604020202090204"/>
                <a:ea typeface="+mn-ea"/>
                <a:cs typeface="+mn-cs"/>
              </a:defRPr>
            </a:pPr>
            <a:r>
              <a:rPr sz="1200" b="0" u="none" strike="noStrike">
                <a:solidFill>
                  <a:srgbClr val="000000"/>
                </a:solidFill>
                <a:uFillTx/>
                <a:latin typeface="Noto Sans CJK SC" panose="020B0500000000000000" charset="-122"/>
                <a:ea typeface="Noto Sans CJK SC" panose="020B0500000000000000" charset="-122"/>
              </a:rPr>
              <a:t>单条成品视频毛利对比（元）</a:t>
            </a:r>
            <a:endParaRPr sz="1200" b="0" u="none" strike="noStrike">
              <a:solidFill>
                <a:srgbClr val="000000"/>
              </a:solidFill>
              <a:uFillTx/>
              <a:latin typeface="Noto Sans CJK SC" panose="020B0500000000000000" charset="-122"/>
              <a:ea typeface="Noto Sans CJK SC" panose="020B0500000000000000" charset="-122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新旧模式对比!$F$11</c:f>
              <c:strCache>
                <c:ptCount val="1"/>
                <c:pt idx="0">
                  <c:v>单条毛利(元)</c:v>
                </c:pt>
              </c:strCache>
            </c:strRef>
          </c:tx>
          <c:spPr>
            <a:solidFill>
              <a:srgbClr val="1B2A4A"/>
            </a:solidFill>
            <a:ln w="12600">
              <a:solidFill>
                <a:srgbClr val="1B2A4A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rgbClr val="000000"/>
                    </a:solidFill>
                    <a:uFillTx/>
                    <a:latin typeface="Arial" panose="020B060402020209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新旧模式对比!$B$12:$B$15</c:f>
              <c:strCache>
                <c:ptCount val="4"/>
                <c:pt idx="0">
                  <c:v>旧模式 10元/次</c:v>
                </c:pt>
                <c:pt idx="1">
                  <c:v>新模式·面值</c:v>
                </c:pt>
                <c:pt idx="2">
                  <c:v>新模式·标准档(1000送100)</c:v>
                </c:pt>
                <c:pt idx="3">
                  <c:v>新模式·高级档(3000送500)</c:v>
                </c:pt>
              </c:strCache>
            </c:strRef>
          </c:cat>
          <c:val>
            <c:numRef>
              <c:f>新旧模式对比!$F$12:$F$15</c:f>
              <c:numCache>
                <c:formatCode>\¥#,##0.00</c:formatCode>
                <c:ptCount val="4"/>
                <c:pt idx="0">
                  <c:v>6.2</c:v>
                </c:pt>
                <c:pt idx="1">
                  <c:v>28.7</c:v>
                </c:pt>
                <c:pt idx="2">
                  <c:v>25.7454545454545</c:v>
                </c:pt>
                <c:pt idx="3">
                  <c:v>24.0571428571429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80"/>
        <c:overlap val="100"/>
        <c:axId val="24605874"/>
        <c:axId val="32246717"/>
      </c:barChart>
      <c:catAx>
        <c:axId val="2460587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Calibri"/>
                <a:ea typeface="+mn-ea"/>
                <a:cs typeface="+mn-cs"/>
              </a:defRPr>
            </a:pPr>
          </a:p>
        </c:txPr>
        <c:crossAx val="32246717"/>
        <c:crosses val="autoZero"/>
        <c:auto val="1"/>
        <c:lblAlgn val="ctr"/>
        <c:lblOffset val="100"/>
        <c:noMultiLvlLbl val="0"/>
      </c:catAx>
      <c:valAx>
        <c:axId val="32246717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90204"/>
                    <a:ea typeface="+mn-ea"/>
                    <a:cs typeface="+mn-cs"/>
                  </a:defRPr>
                </a:pPr>
                <a:r>
                  <a:rPr sz="1000" b="0" u="none" strike="noStrike">
                    <a:solidFill>
                      <a:srgbClr val="000000"/>
                    </a:solidFill>
                    <a:uFillTx/>
                    <a:latin typeface="Noto Sans CJK SC" panose="020B0500000000000000" charset="-122"/>
                    <a:ea typeface="Noto Sans CJK SC" panose="020B0500000000000000" charset="-122"/>
                  </a:rPr>
                  <a:t>毛利（元）</a:t>
                </a:r>
                <a:endParaRPr sz="1000" b="0" u="none" strike="noStrike">
                  <a:solidFill>
                    <a:srgbClr val="000000"/>
                  </a:solidFill>
                  <a:uFillTx/>
                  <a:latin typeface="Noto Sans CJK SC" panose="020B0500000000000000" charset="-122"/>
                  <a:ea typeface="Noto Sans CJK SC" panose="020B0500000000000000" charset="-122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\¥#,##0.00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Calibri"/>
                <a:ea typeface="+mn-ea"/>
                <a:cs typeface="+mn-cs"/>
              </a:defRPr>
            </a:pPr>
          </a:p>
        </c:txPr>
        <c:crossAx val="24605874"/>
        <c:crosses val="autoZero"/>
        <c:crossBetween val="between"/>
      </c:valAx>
      <c:spPr>
        <a:ln w="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4d4bd2ef-115c-44b0-85df-986d6e7a1770}"/>
      </c:ext>
    </c:extLst>
  </c:chart>
  <c:spPr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19</xdr:row>
      <xdr:rowOff>0</xdr:rowOff>
    </xdr:from>
    <xdr:to>
      <xdr:col>4</xdr:col>
      <xdr:colOff>565560</xdr:colOff>
      <xdr:row>37</xdr:row>
      <xdr:rowOff>170280</xdr:rowOff>
    </xdr:to>
    <xdr:graphicFrame>
      <xdr:nvGraphicFramePr>
        <xdr:cNvPr id="2" name="Chart 1"/>
        <xdr:cNvGraphicFramePr/>
      </xdr:nvGraphicFramePr>
      <xdr:xfrm>
        <a:off x="281305" y="5970270"/>
        <a:ext cx="8449945" cy="40106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H25"/>
  <sheetViews>
    <sheetView showGridLines="0" topLeftCell="A6" workbookViewId="0">
      <selection activeCell="B22" sqref="B22:H22"/>
    </sheetView>
  </sheetViews>
  <sheetFormatPr defaultColWidth="9.44852941176471" defaultRowHeight="16.8" outlineLevelCol="7"/>
  <cols>
    <col min="1" max="1" width="3.25735294117647" style="1" customWidth="1"/>
    <col min="2" max="2" width="9.58088235294118" style="1" customWidth="1"/>
    <col min="3" max="3" width="13.6102941176471" style="1" customWidth="1"/>
    <col min="4" max="4" width="24.9191176470588" style="1" customWidth="1"/>
    <col min="5" max="5" width="27.1029411764706" style="1" customWidth="1"/>
    <col min="6" max="6" width="24.3676470588235" style="1" customWidth="1"/>
    <col min="7" max="7" width="28.1911764705882" style="1" customWidth="1"/>
    <col min="8" max="8" width="9.58088235294118" style="1" customWidth="1"/>
  </cols>
  <sheetData>
    <row r="1" ht="15" customHeight="1"/>
    <row r="2" ht="31.5" customHeight="1" spans="2:8">
      <c r="B2" s="5" t="s">
        <v>0</v>
      </c>
      <c r="C2" s="5"/>
      <c r="D2" s="5"/>
      <c r="E2" s="5"/>
      <c r="F2" s="5"/>
      <c r="G2" s="5"/>
      <c r="H2" s="5"/>
    </row>
    <row r="3" ht="7.5" customHeight="1"/>
    <row r="4" ht="24" customHeight="1" spans="2:8">
      <c r="B4" s="26" t="s">
        <v>1</v>
      </c>
      <c r="C4" s="26"/>
      <c r="D4" s="26"/>
      <c r="E4" s="26"/>
      <c r="F4" s="26"/>
      <c r="G4" s="26"/>
      <c r="H4" s="26"/>
    </row>
    <row r="5" ht="27.75" customHeight="1" spans="2:8">
      <c r="B5" s="7" t="s">
        <v>2</v>
      </c>
      <c r="C5" s="7" t="s">
        <v>3</v>
      </c>
      <c r="D5" s="7" t="s">
        <v>4</v>
      </c>
      <c r="E5" s="7" t="s">
        <v>5</v>
      </c>
      <c r="F5" s="7" t="s">
        <v>6</v>
      </c>
    </row>
    <row r="6" ht="37.5" customHeight="1" spans="2:8">
      <c r="B6" s="8" t="s">
        <v>7</v>
      </c>
      <c r="C6" s="8" t="s">
        <v>8</v>
      </c>
      <c r="D6" s="11">
        <f>成本与毛利测算!$C$7</f>
        <v>30</v>
      </c>
      <c r="E6" s="10">
        <f>D6*成本与毛利测算!$C$6</f>
        <v>30</v>
      </c>
      <c r="F6" s="8" t="s">
        <v>9</v>
      </c>
    </row>
    <row r="7" ht="37.5" customHeight="1" spans="2:8">
      <c r="B7" s="14" t="s">
        <v>10</v>
      </c>
      <c r="C7" s="14" t="s">
        <v>11</v>
      </c>
      <c r="D7" s="17">
        <f>成本与毛利测算!$C$10</f>
        <v>0.5</v>
      </c>
      <c r="E7" s="16">
        <f>D7*成本与毛利测算!$C$6</f>
        <v>0.5</v>
      </c>
      <c r="F7" s="14" t="s">
        <v>12</v>
      </c>
    </row>
    <row r="8" ht="37.5" customHeight="1" spans="2:8">
      <c r="B8" s="8" t="s">
        <v>13</v>
      </c>
      <c r="C8" s="8" t="s">
        <v>14</v>
      </c>
      <c r="D8" s="11">
        <f>成本与毛利测算!$C$11</f>
        <v>1</v>
      </c>
      <c r="E8" s="10">
        <f>D8*成本与毛利测算!$C$6</f>
        <v>1</v>
      </c>
      <c r="F8" s="8" t="s">
        <v>15</v>
      </c>
    </row>
    <row r="9" ht="21.75" customHeight="1"/>
    <row r="10" ht="24" customHeight="1" spans="2:8">
      <c r="B10" s="26" t="s">
        <v>16</v>
      </c>
      <c r="C10" s="26"/>
      <c r="D10" s="26"/>
      <c r="E10" s="26"/>
      <c r="F10" s="26"/>
      <c r="G10" s="26"/>
      <c r="H10" s="26"/>
    </row>
    <row r="11" ht="27.75" customHeight="1" spans="2:8">
      <c r="B11" s="7" t="s">
        <v>17</v>
      </c>
      <c r="C11" s="7" t="s">
        <v>18</v>
      </c>
      <c r="D11" s="7" t="s">
        <v>19</v>
      </c>
      <c r="E11" s="7" t="s">
        <v>20</v>
      </c>
      <c r="F11" s="7" t="s">
        <v>21</v>
      </c>
      <c r="G11" s="7" t="s">
        <v>22</v>
      </c>
      <c r="H11" s="7" t="s">
        <v>23</v>
      </c>
    </row>
    <row r="12" ht="37.5" customHeight="1" spans="2:8">
      <c r="B12" s="8" t="s">
        <v>24</v>
      </c>
      <c r="C12" s="10">
        <v>500</v>
      </c>
      <c r="D12" s="11">
        <v>30</v>
      </c>
      <c r="E12" s="11">
        <f>C12+D12</f>
        <v>530</v>
      </c>
      <c r="F12" s="12">
        <f>IFERROR(C12/E12,0)</f>
        <v>0.943396226415094</v>
      </c>
      <c r="G12" s="13">
        <f>F12/成本与毛利测算!$C$6</f>
        <v>0.943396226415094</v>
      </c>
      <c r="H12" s="8" t="s">
        <v>25</v>
      </c>
    </row>
    <row r="13" ht="37.5" customHeight="1" spans="2:8">
      <c r="B13" s="14" t="s">
        <v>26</v>
      </c>
      <c r="C13" s="16">
        <v>1000</v>
      </c>
      <c r="D13" s="17">
        <v>100</v>
      </c>
      <c r="E13" s="17">
        <f>C13+D13</f>
        <v>1100</v>
      </c>
      <c r="F13" s="18">
        <f>IFERROR(C13/E13,0)</f>
        <v>0.909090909090909</v>
      </c>
      <c r="G13" s="19">
        <f>F13/成本与毛利测算!$C$6</f>
        <v>0.909090909090909</v>
      </c>
      <c r="H13" s="14" t="s">
        <v>27</v>
      </c>
    </row>
    <row r="14" ht="37.5" customHeight="1" spans="2:8">
      <c r="B14" s="8" t="s">
        <v>28</v>
      </c>
      <c r="C14" s="10">
        <v>3000</v>
      </c>
      <c r="D14" s="11">
        <v>500</v>
      </c>
      <c r="E14" s="11">
        <f>C14+D14</f>
        <v>3500</v>
      </c>
      <c r="F14" s="12">
        <f>IFERROR(C14/E14,0)</f>
        <v>0.857142857142857</v>
      </c>
      <c r="G14" s="13">
        <f>F14/成本与毛利测算!$C$6</f>
        <v>0.857142857142857</v>
      </c>
      <c r="H14" s="8" t="s">
        <v>27</v>
      </c>
    </row>
    <row r="15" ht="37.5" customHeight="1" spans="2:8">
      <c r="B15" s="14" t="s">
        <v>29</v>
      </c>
      <c r="C15" s="16">
        <v>5000</v>
      </c>
      <c r="D15" s="17">
        <v>1000</v>
      </c>
      <c r="E15" s="17">
        <f>C15+D15</f>
        <v>6000</v>
      </c>
      <c r="F15" s="18">
        <f>IFERROR(C15/E15,0)</f>
        <v>0.833333333333333</v>
      </c>
      <c r="G15" s="19">
        <f>F15/成本与毛利测算!$C$6</f>
        <v>0.833333333333333</v>
      </c>
      <c r="H15" s="14" t="s">
        <v>25</v>
      </c>
    </row>
    <row r="16" ht="37.5" customHeight="1" spans="2:8">
      <c r="B16" s="8" t="s">
        <v>30</v>
      </c>
      <c r="C16" s="10">
        <v>10000</v>
      </c>
      <c r="D16" s="11">
        <v>2500</v>
      </c>
      <c r="E16" s="11">
        <f>C16+D16</f>
        <v>12500</v>
      </c>
      <c r="F16" s="12">
        <f>IFERROR(C16/E16,0)</f>
        <v>0.8</v>
      </c>
      <c r="G16" s="13">
        <f>F16/成本与毛利测算!$C$6</f>
        <v>0.8</v>
      </c>
      <c r="H16" s="8" t="s">
        <v>25</v>
      </c>
    </row>
    <row r="18" ht="24" customHeight="1" spans="2:8">
      <c r="B18" s="26" t="s">
        <v>31</v>
      </c>
      <c r="C18" s="26"/>
      <c r="D18" s="26"/>
      <c r="E18" s="26"/>
      <c r="F18" s="26"/>
      <c r="G18" s="26"/>
      <c r="H18" s="26"/>
    </row>
    <row r="19" ht="30" customHeight="1" spans="2:8">
      <c r="B19" s="37" t="s">
        <v>32</v>
      </c>
      <c r="C19" s="37"/>
      <c r="D19" s="37"/>
      <c r="E19" s="37"/>
      <c r="F19" s="37"/>
      <c r="G19" s="37"/>
      <c r="H19" s="37"/>
    </row>
    <row r="20" ht="30" customHeight="1" spans="2:8">
      <c r="B20" s="37" t="s">
        <v>33</v>
      </c>
      <c r="C20" s="37"/>
      <c r="D20" s="37"/>
      <c r="E20" s="37"/>
      <c r="F20" s="37"/>
      <c r="G20" s="37"/>
      <c r="H20" s="37"/>
    </row>
    <row r="21" ht="30" customHeight="1" spans="2:8">
      <c r="B21" s="37" t="s">
        <v>34</v>
      </c>
      <c r="C21" s="37"/>
      <c r="D21" s="37"/>
      <c r="E21" s="37"/>
      <c r="F21" s="37"/>
      <c r="G21" s="37"/>
      <c r="H21" s="37"/>
    </row>
    <row r="22" ht="30" customHeight="1" spans="2:8">
      <c r="B22" s="37" t="s">
        <v>35</v>
      </c>
      <c r="C22" s="37"/>
      <c r="D22" s="37"/>
      <c r="E22" s="37"/>
      <c r="F22" s="37"/>
      <c r="G22" s="37"/>
      <c r="H22" s="37"/>
    </row>
    <row r="23" ht="30" customHeight="1" spans="2:8">
      <c r="B23" s="37" t="s">
        <v>36</v>
      </c>
      <c r="C23" s="37"/>
      <c r="D23" s="37"/>
      <c r="E23" s="37"/>
      <c r="F23" s="37"/>
      <c r="G23" s="37"/>
      <c r="H23" s="37"/>
    </row>
    <row r="25" ht="18" customHeight="1" spans="2:8">
      <c r="B25" s="6" t="s">
        <v>37</v>
      </c>
      <c r="C25" s="6"/>
      <c r="D25" s="6"/>
      <c r="E25" s="6"/>
      <c r="F25" s="6"/>
      <c r="G25" s="6"/>
      <c r="H25" s="6"/>
    </row>
  </sheetData>
  <mergeCells count="10">
    <mergeCell ref="B2:H2"/>
    <mergeCell ref="B4:H4"/>
    <mergeCell ref="B10:H10"/>
    <mergeCell ref="B18:H18"/>
    <mergeCell ref="B19:H19"/>
    <mergeCell ref="B20:H20"/>
    <mergeCell ref="B21:H21"/>
    <mergeCell ref="B22:H22"/>
    <mergeCell ref="B23:H23"/>
    <mergeCell ref="B25:H25"/>
  </mergeCells>
  <pageMargins left="0.75" right="0.75" top="1" bottom="1" header="0.511811023622047" footer="0.511811023622047"/>
  <pageSetup paperSize="1" orientation="landscape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L39"/>
  <sheetViews>
    <sheetView showGridLines="0" tabSelected="1" workbookViewId="0">
      <selection activeCell="D27" sqref="D27"/>
    </sheetView>
  </sheetViews>
  <sheetFormatPr defaultColWidth="9.44852941176471" defaultRowHeight="16.8"/>
  <cols>
    <col min="1" max="1" width="3.25735294117647" style="1" customWidth="1"/>
    <col min="2" max="2" width="23.9411764705882" style="1" customWidth="1"/>
    <col min="3" max="3" width="18.5" style="1" customWidth="1"/>
    <col min="4" max="4" width="27.5294117647059" style="1" customWidth="1"/>
    <col min="5" max="5" width="28.3014705882353" style="1" customWidth="1"/>
    <col min="6" max="6" width="22.8602941176471" style="1" customWidth="1"/>
    <col min="7" max="7" width="25.8970588235294" style="1" customWidth="1"/>
    <col min="8" max="8" width="16.1102941176471" style="1" customWidth="1"/>
    <col min="9" max="9" width="22.8602941176471" style="1" customWidth="1"/>
    <col min="10" max="10" width="25.8970588235294" style="1" customWidth="1"/>
    <col min="11" max="11" width="16.1102941176471" style="1" customWidth="1"/>
    <col min="12" max="12" width="22.8602941176471" style="1" customWidth="1"/>
  </cols>
  <sheetData>
    <row r="1" ht="15" customHeight="1"/>
    <row r="2" ht="31.5" customHeight="1" spans="2:12">
      <c r="B2" s="5" t="s">
        <v>38</v>
      </c>
      <c r="C2" s="5"/>
      <c r="D2" s="5"/>
      <c r="E2" s="5"/>
      <c r="F2" s="5"/>
      <c r="G2" s="5"/>
      <c r="H2" s="5"/>
      <c r="I2" s="5"/>
      <c r="J2" s="5"/>
      <c r="K2" s="5"/>
      <c r="L2" s="5"/>
    </row>
    <row r="3" ht="7.5" customHeight="1"/>
    <row r="4" ht="24" customHeight="1" spans="2:12">
      <c r="B4" s="26" t="s">
        <v>39</v>
      </c>
      <c r="C4" s="26"/>
      <c r="D4" s="26"/>
      <c r="E4" s="26"/>
    </row>
    <row r="5" ht="27.75" customHeight="1" spans="2:12">
      <c r="B5" s="7" t="s">
        <v>40</v>
      </c>
      <c r="C5" s="7" t="s">
        <v>41</v>
      </c>
      <c r="D5" s="7" t="s">
        <v>42</v>
      </c>
      <c r="E5" s="7" t="s">
        <v>43</v>
      </c>
    </row>
    <row r="6" ht="21.75" customHeight="1" spans="2:12">
      <c r="B6" s="8" t="s">
        <v>44</v>
      </c>
      <c r="C6" s="31">
        <v>1</v>
      </c>
      <c r="D6" s="8" t="s">
        <v>45</v>
      </c>
      <c r="E6" s="8" t="s">
        <v>46</v>
      </c>
    </row>
    <row r="7" ht="37.5" customHeight="1" spans="2:12">
      <c r="B7" s="14" t="s">
        <v>47</v>
      </c>
      <c r="C7" s="17">
        <v>30</v>
      </c>
      <c r="D7" s="14" t="s">
        <v>48</v>
      </c>
      <c r="E7" s="14" t="s">
        <v>49</v>
      </c>
    </row>
    <row r="8" ht="21.75" customHeight="1" spans="2:12">
      <c r="B8" s="8" t="s">
        <v>50</v>
      </c>
      <c r="C8" s="32">
        <v>1.5</v>
      </c>
      <c r="D8" s="8" t="s">
        <v>51</v>
      </c>
      <c r="E8" s="8" t="s">
        <v>52</v>
      </c>
    </row>
    <row r="9" ht="21.75" customHeight="1" spans="2:12">
      <c r="B9" s="14" t="s">
        <v>53</v>
      </c>
      <c r="C9" s="33">
        <v>2.5</v>
      </c>
      <c r="D9" s="14" t="s">
        <v>54</v>
      </c>
      <c r="E9" s="14" t="s">
        <v>52</v>
      </c>
    </row>
    <row r="10" ht="21.75" customHeight="1" spans="2:12">
      <c r="B10" s="8" t="s">
        <v>55</v>
      </c>
      <c r="C10" s="11">
        <v>0.5</v>
      </c>
      <c r="D10" s="8" t="s">
        <v>56</v>
      </c>
      <c r="E10" s="8" t="s">
        <v>57</v>
      </c>
    </row>
    <row r="11" ht="21.75" customHeight="1" spans="2:12">
      <c r="B11" s="14" t="s">
        <v>58</v>
      </c>
      <c r="C11" s="17">
        <v>1</v>
      </c>
      <c r="D11" s="14" t="s">
        <v>59</v>
      </c>
      <c r="E11" s="14" t="s">
        <v>57</v>
      </c>
    </row>
    <row r="12" ht="21.75" customHeight="1"/>
    <row r="13" ht="24" customHeight="1" spans="2:12">
      <c r="B13" s="26" t="s">
        <v>60</v>
      </c>
      <c r="C13" s="26"/>
      <c r="D13" s="26"/>
      <c r="E13" s="26"/>
    </row>
    <row r="14" ht="27.75" customHeight="1" spans="2:12">
      <c r="B14" s="7" t="s">
        <v>61</v>
      </c>
      <c r="C14" s="7" t="s">
        <v>41</v>
      </c>
      <c r="D14" s="7" t="s">
        <v>42</v>
      </c>
      <c r="E14" s="7" t="s">
        <v>6</v>
      </c>
    </row>
    <row r="15" ht="21.75" customHeight="1" spans="2:12">
      <c r="B15" s="8" t="s">
        <v>62</v>
      </c>
      <c r="C15" s="32">
        <v>0.5</v>
      </c>
      <c r="D15" s="8" t="s">
        <v>63</v>
      </c>
      <c r="E15" s="8" t="s">
        <v>64</v>
      </c>
    </row>
    <row r="16" ht="21.75" customHeight="1" spans="2:12">
      <c r="B16" s="14" t="s">
        <v>65</v>
      </c>
      <c r="C16" s="33">
        <v>0.5</v>
      </c>
      <c r="D16" s="14" t="s">
        <v>66</v>
      </c>
      <c r="E16" s="14" t="s">
        <v>67</v>
      </c>
    </row>
    <row r="17" ht="21.75" customHeight="1" spans="2:12">
      <c r="B17" s="8" t="s">
        <v>68</v>
      </c>
      <c r="C17" s="11">
        <v>3</v>
      </c>
      <c r="D17" s="8" t="s">
        <v>69</v>
      </c>
      <c r="E17" s="8" t="s">
        <v>70</v>
      </c>
    </row>
    <row r="18" ht="21.75" customHeight="1" spans="2:12">
      <c r="B18" s="14" t="s">
        <v>71</v>
      </c>
      <c r="C18" s="34">
        <v>0</v>
      </c>
      <c r="D18" s="14" t="s">
        <v>72</v>
      </c>
      <c r="E18" s="14" t="s">
        <v>73</v>
      </c>
    </row>
    <row r="19" ht="21.75" customHeight="1" spans="2:12">
      <c r="B19" s="27" t="s">
        <v>74</v>
      </c>
      <c r="C19" s="35">
        <v>0.7</v>
      </c>
      <c r="D19" s="8" t="s">
        <v>72</v>
      </c>
      <c r="E19" s="8" t="s">
        <v>75</v>
      </c>
    </row>
    <row r="20" ht="21.75" customHeight="1" spans="2:12">
      <c r="B20" s="28" t="s">
        <v>76</v>
      </c>
      <c r="C20" s="34">
        <f>1-C19</f>
        <v>0.3</v>
      </c>
      <c r="D20" s="14" t="s">
        <v>72</v>
      </c>
      <c r="E20" s="14" t="s">
        <v>77</v>
      </c>
    </row>
    <row r="21" ht="21.75" customHeight="1"/>
    <row r="22" ht="24" customHeight="1" spans="2:12">
      <c r="B22" s="26" t="s">
        <v>78</v>
      </c>
      <c r="C22" s="26"/>
      <c r="D22" s="26"/>
      <c r="E22" s="26"/>
    </row>
    <row r="23" ht="27.75" customHeight="1" spans="2:12">
      <c r="B23" s="7" t="s">
        <v>79</v>
      </c>
      <c r="C23" s="7" t="s">
        <v>41</v>
      </c>
      <c r="D23" s="7" t="s">
        <v>80</v>
      </c>
    </row>
    <row r="24" ht="37.5" customHeight="1" spans="2:12">
      <c r="B24" s="8" t="s">
        <v>81</v>
      </c>
      <c r="C24" s="10">
        <f>C8*C19+C9*C20</f>
        <v>1.8</v>
      </c>
      <c r="D24" s="27" t="s">
        <v>82</v>
      </c>
    </row>
    <row r="25" ht="21.75" customHeight="1" spans="2:12">
      <c r="B25" s="14" t="s">
        <v>83</v>
      </c>
      <c r="C25" s="16">
        <f>C24*(1+C18)</f>
        <v>1.8</v>
      </c>
      <c r="D25" s="14" t="s">
        <v>84</v>
      </c>
    </row>
    <row r="26" ht="21.75" customHeight="1" spans="2:12">
      <c r="B26" s="8" t="s">
        <v>85</v>
      </c>
      <c r="C26" s="10">
        <f>C17*C15</f>
        <v>1.5</v>
      </c>
      <c r="D26" s="8" t="s">
        <v>86</v>
      </c>
    </row>
    <row r="27" ht="21.75" customHeight="1" spans="2:12">
      <c r="B27" s="14" t="s">
        <v>87</v>
      </c>
      <c r="C27" s="16">
        <f>C16</f>
        <v>0.5</v>
      </c>
      <c r="D27" s="14" t="s">
        <v>88</v>
      </c>
    </row>
    <row r="28" ht="21.75" customHeight="1" spans="2:12">
      <c r="B28" s="8" t="s">
        <v>89</v>
      </c>
      <c r="C28" s="10">
        <f>C25+C26+C27</f>
        <v>3.8</v>
      </c>
      <c r="D28" s="8" t="s">
        <v>90</v>
      </c>
    </row>
    <row r="29" ht="37.5" customHeight="1" spans="2:12">
      <c r="B29" s="14" t="s">
        <v>91</v>
      </c>
      <c r="C29" s="17">
        <f>C7+C17*C10+C11</f>
        <v>32.5</v>
      </c>
      <c r="D29" s="14" t="s">
        <v>92</v>
      </c>
    </row>
    <row r="30" ht="21.75" customHeight="1"/>
    <row r="31" ht="24" customHeight="1" spans="2:12">
      <c r="B31" s="26" t="s">
        <v>93</v>
      </c>
      <c r="C31" s="26"/>
      <c r="D31" s="26"/>
      <c r="E31" s="26"/>
      <c r="F31" s="26"/>
      <c r="G31" s="26"/>
      <c r="H31" s="26"/>
      <c r="I31" s="26"/>
      <c r="J31" s="26"/>
      <c r="K31" s="26"/>
      <c r="L31" s="26"/>
    </row>
    <row r="32" ht="27.75" customHeight="1" spans="2:12">
      <c r="B32" s="7" t="s">
        <v>2</v>
      </c>
      <c r="C32" s="7" t="s">
        <v>94</v>
      </c>
      <c r="D32" s="7" t="s">
        <v>5</v>
      </c>
      <c r="E32" s="7" t="s">
        <v>95</v>
      </c>
      <c r="F32" s="7" t="s">
        <v>96</v>
      </c>
      <c r="G32" s="36" t="s">
        <v>97</v>
      </c>
      <c r="H32" s="36" t="s">
        <v>98</v>
      </c>
      <c r="I32" s="36" t="s">
        <v>99</v>
      </c>
      <c r="J32" s="36" t="s">
        <v>100</v>
      </c>
      <c r="K32" s="36" t="s">
        <v>101</v>
      </c>
      <c r="L32" s="36" t="s">
        <v>102</v>
      </c>
    </row>
    <row r="33" ht="37.5" customHeight="1" spans="2:12">
      <c r="B33" s="8" t="s">
        <v>103</v>
      </c>
      <c r="C33" s="10">
        <f>C8</f>
        <v>1.5</v>
      </c>
      <c r="D33" s="10">
        <f>$C$7*$C$6</f>
        <v>30</v>
      </c>
      <c r="E33" s="10">
        <f>D33-C33</f>
        <v>28.5</v>
      </c>
      <c r="F33" s="13">
        <f>IFERROR(E33/D33,0)</f>
        <v>0.95</v>
      </c>
      <c r="G33" s="10">
        <f>$C$7*方案总览!$F$13</f>
        <v>27.2727272727273</v>
      </c>
      <c r="H33" s="10">
        <f>G33-C33</f>
        <v>25.7727272727273</v>
      </c>
      <c r="I33" s="13">
        <f>IFERROR(H33/G33,0)</f>
        <v>0.945</v>
      </c>
      <c r="J33" s="10">
        <f>$C$7*方案总览!$F$14</f>
        <v>25.7142857142857</v>
      </c>
      <c r="K33" s="10">
        <f>J33-C33</f>
        <v>24.2142857142857</v>
      </c>
      <c r="L33" s="13">
        <f>IFERROR(K33/J33,0)</f>
        <v>0.941666666666667</v>
      </c>
    </row>
    <row r="34" ht="37.5" customHeight="1" spans="2:12">
      <c r="B34" s="14" t="s">
        <v>104</v>
      </c>
      <c r="C34" s="16">
        <f>C9</f>
        <v>2.5</v>
      </c>
      <c r="D34" s="16">
        <f>$C$7*$C$6</f>
        <v>30</v>
      </c>
      <c r="E34" s="16">
        <f>D34-C34</f>
        <v>27.5</v>
      </c>
      <c r="F34" s="19">
        <f>IFERROR(E34/D34,0)</f>
        <v>0.916666666666667</v>
      </c>
      <c r="G34" s="16">
        <f>$C$7*方案总览!$F$13</f>
        <v>27.2727272727273</v>
      </c>
      <c r="H34" s="16">
        <f>G34-C34</f>
        <v>24.7727272727273</v>
      </c>
      <c r="I34" s="19">
        <f>IFERROR(H34/G34,0)</f>
        <v>0.908333333333333</v>
      </c>
      <c r="J34" s="16">
        <f>$C$7*方案总览!$F$14</f>
        <v>25.7142857142857</v>
      </c>
      <c r="K34" s="16">
        <f>J34-C34</f>
        <v>23.2142857142857</v>
      </c>
      <c r="L34" s="19">
        <f>IFERROR(K34/J34,0)</f>
        <v>0.902777777777778</v>
      </c>
    </row>
    <row r="35" ht="37.5" customHeight="1" spans="2:12">
      <c r="B35" s="8" t="s">
        <v>105</v>
      </c>
      <c r="C35" s="10">
        <f>C24</f>
        <v>1.8</v>
      </c>
      <c r="D35" s="10">
        <f>$C$7*$C$6</f>
        <v>30</v>
      </c>
      <c r="E35" s="10">
        <f>D35-C35</f>
        <v>28.2</v>
      </c>
      <c r="F35" s="13">
        <f>IFERROR(E35/D35,0)</f>
        <v>0.94</v>
      </c>
      <c r="G35" s="10">
        <f>$C$7*方案总览!$F$13</f>
        <v>27.2727272727273</v>
      </c>
      <c r="H35" s="10">
        <f>G35-C35</f>
        <v>25.4727272727273</v>
      </c>
      <c r="I35" s="13">
        <f>IFERROR(H35/G35,0)</f>
        <v>0.934</v>
      </c>
      <c r="J35" s="10">
        <f>$C$7*方案总览!$F$14</f>
        <v>25.7142857142857</v>
      </c>
      <c r="K35" s="10">
        <f>J35-C35</f>
        <v>23.9142857142857</v>
      </c>
      <c r="L35" s="13">
        <f>IFERROR(K35/J35,0)</f>
        <v>0.93</v>
      </c>
    </row>
    <row r="36" ht="37.5" customHeight="1" spans="2:12">
      <c r="B36" s="14" t="s">
        <v>10</v>
      </c>
      <c r="C36" s="16">
        <f>C15</f>
        <v>0.5</v>
      </c>
      <c r="D36" s="16">
        <f>$C$10*$C$6</f>
        <v>0.5</v>
      </c>
      <c r="E36" s="16">
        <f>D36-C36</f>
        <v>0</v>
      </c>
      <c r="F36" s="19">
        <f>IFERROR(E36/D36,0)</f>
        <v>0</v>
      </c>
      <c r="G36" s="16">
        <f>$C$10*方案总览!$F$13</f>
        <v>0.454545454545455</v>
      </c>
      <c r="H36" s="16">
        <f>G36-C36</f>
        <v>-0.0454545454545455</v>
      </c>
      <c r="I36" s="19">
        <f>IFERROR(H36/G36,0)</f>
        <v>-0.1</v>
      </c>
      <c r="J36" s="16">
        <f>$C$10*方案总览!$F$14</f>
        <v>0.428571428571429</v>
      </c>
      <c r="K36" s="16">
        <f>J36-C36</f>
        <v>-0.0714285714285715</v>
      </c>
      <c r="L36" s="19">
        <f>IFERROR(K36/J36,0)</f>
        <v>-0.166666666666667</v>
      </c>
    </row>
    <row r="37" ht="37.5" customHeight="1" spans="2:12">
      <c r="B37" s="8" t="s">
        <v>13</v>
      </c>
      <c r="C37" s="10">
        <f>C16</f>
        <v>0.5</v>
      </c>
      <c r="D37" s="10">
        <f>$C$11*$C$6</f>
        <v>1</v>
      </c>
      <c r="E37" s="10">
        <f>D37-C37</f>
        <v>0.5</v>
      </c>
      <c r="F37" s="13">
        <f>IFERROR(E37/D37,0)</f>
        <v>0.5</v>
      </c>
      <c r="G37" s="10">
        <f>$C$11*方案总览!$F$13</f>
        <v>0.909090909090909</v>
      </c>
      <c r="H37" s="10">
        <f>G37-C37</f>
        <v>0.409090909090909</v>
      </c>
      <c r="I37" s="13">
        <f>IFERROR(H37/G37,0)</f>
        <v>0.45</v>
      </c>
      <c r="J37" s="10">
        <f>$C$11*方案总览!$F$14</f>
        <v>0.857142857142857</v>
      </c>
      <c r="K37" s="10">
        <f>J37-C37</f>
        <v>0.357142857142857</v>
      </c>
      <c r="L37" s="13">
        <f>IFERROR(K37/J37,0)</f>
        <v>0.416666666666667</v>
      </c>
    </row>
    <row r="39" ht="18" customHeight="1" spans="2:12">
      <c r="B39" s="6" t="s">
        <v>106</v>
      </c>
      <c r="C39" s="6"/>
      <c r="D39" s="6"/>
      <c r="E39" s="6"/>
      <c r="F39" s="6"/>
      <c r="G39" s="6"/>
      <c r="H39" s="6"/>
      <c r="I39" s="6"/>
      <c r="J39" s="6"/>
      <c r="K39" s="6"/>
      <c r="L39" s="6"/>
    </row>
  </sheetData>
  <mergeCells count="6">
    <mergeCell ref="B2:L2"/>
    <mergeCell ref="B4:E4"/>
    <mergeCell ref="B13:E13"/>
    <mergeCell ref="B22:E22"/>
    <mergeCell ref="B31:L31"/>
    <mergeCell ref="B39:L39"/>
  </mergeCells>
  <pageMargins left="0.75" right="0.75" top="1" bottom="1" header="0.511811023622047" footer="0.511811023622047"/>
  <pageSetup paperSize="1" orientation="landscape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H42"/>
  <sheetViews>
    <sheetView showGridLines="0" topLeftCell="A15" workbookViewId="0">
      <selection activeCell="A1" sqref="A1"/>
    </sheetView>
  </sheetViews>
  <sheetFormatPr defaultColWidth="9.44852941176471" defaultRowHeight="16.8" outlineLevelCol="7"/>
  <cols>
    <col min="1" max="1" width="3.25735294117647" style="1" customWidth="1"/>
    <col min="2" max="2" width="26.0073529411765" style="1" customWidth="1"/>
    <col min="3" max="4" width="32.6470588235294" style="1" customWidth="1"/>
    <col min="5" max="5" width="22.7279411764706" style="1" customWidth="1"/>
    <col min="6" max="6" width="13.6102941176471" style="1" customWidth="1"/>
    <col min="7" max="7" width="22.8602941176471" style="1" customWidth="1"/>
    <col min="8" max="8" width="23.9411764705882" style="1" customWidth="1"/>
  </cols>
  <sheetData>
    <row r="1" ht="15" customHeight="1"/>
    <row r="2" ht="31.5" customHeight="1" spans="2:8">
      <c r="B2" s="5" t="s">
        <v>107</v>
      </c>
      <c r="C2" s="5"/>
      <c r="D2" s="5"/>
      <c r="E2" s="5"/>
      <c r="F2" s="5"/>
      <c r="G2" s="5"/>
      <c r="H2" s="5"/>
    </row>
    <row r="3" ht="7.5" customHeight="1"/>
    <row r="4" ht="24" customHeight="1" spans="2:8">
      <c r="B4" s="26" t="s">
        <v>108</v>
      </c>
      <c r="C4" s="26"/>
      <c r="D4" s="26"/>
      <c r="E4" s="26"/>
      <c r="F4" s="26"/>
      <c r="G4" s="26"/>
      <c r="H4" s="26"/>
    </row>
    <row r="5" ht="27.75" customHeight="1" spans="2:8">
      <c r="B5" s="7" t="s">
        <v>2</v>
      </c>
      <c r="C5" s="7" t="s">
        <v>109</v>
      </c>
      <c r="D5" s="7" t="s">
        <v>110</v>
      </c>
    </row>
    <row r="6" ht="21.75" customHeight="1" spans="2:8">
      <c r="B6" s="8" t="s">
        <v>7</v>
      </c>
      <c r="C6" s="27" t="s">
        <v>111</v>
      </c>
      <c r="D6" s="27" t="s">
        <v>112</v>
      </c>
    </row>
    <row r="7" ht="21.75" customHeight="1" spans="2:8">
      <c r="B7" s="14" t="s">
        <v>10</v>
      </c>
      <c r="C7" s="14" t="s">
        <v>113</v>
      </c>
      <c r="D7" s="28" t="s">
        <v>114</v>
      </c>
    </row>
    <row r="8" ht="21.75" customHeight="1" spans="2:8">
      <c r="B8" s="8" t="s">
        <v>13</v>
      </c>
      <c r="C8" s="8" t="s">
        <v>113</v>
      </c>
      <c r="D8" s="27" t="s">
        <v>115</v>
      </c>
    </row>
    <row r="9" ht="21.75" customHeight="1"/>
    <row r="10" ht="24" customHeight="1" spans="2:8">
      <c r="B10" s="26" t="s">
        <v>116</v>
      </c>
      <c r="C10" s="26"/>
      <c r="D10" s="26"/>
      <c r="E10" s="26"/>
      <c r="F10" s="26"/>
      <c r="G10" s="26"/>
      <c r="H10" s="26"/>
    </row>
    <row r="11" ht="27.75" customHeight="1" spans="2:8">
      <c r="B11" s="7" t="s">
        <v>117</v>
      </c>
      <c r="C11" s="7" t="s">
        <v>118</v>
      </c>
      <c r="D11" s="7" t="s">
        <v>119</v>
      </c>
      <c r="E11" s="7" t="s">
        <v>120</v>
      </c>
      <c r="F11" s="7" t="s">
        <v>121</v>
      </c>
      <c r="G11" s="7" t="s">
        <v>122</v>
      </c>
      <c r="H11" s="7" t="s">
        <v>123</v>
      </c>
    </row>
    <row r="12" ht="37.5" customHeight="1" spans="2:8">
      <c r="B12" s="8" t="s">
        <v>124</v>
      </c>
      <c r="C12" s="27" t="s">
        <v>125</v>
      </c>
      <c r="D12" s="10">
        <v>10</v>
      </c>
      <c r="E12" s="10">
        <f>成本与毛利测算!C28</f>
        <v>3.8</v>
      </c>
      <c r="F12" s="10">
        <f>D12-E12</f>
        <v>6.2</v>
      </c>
      <c r="G12" s="13">
        <f>IFERROR(F12/D12,0)</f>
        <v>0.62</v>
      </c>
      <c r="H12" s="29">
        <v>1</v>
      </c>
    </row>
    <row r="13" ht="37.5" customHeight="1" spans="2:8">
      <c r="B13" s="14" t="s">
        <v>126</v>
      </c>
      <c r="C13" s="14" t="str">
        <f>TEXT(成本与毛利测算!C29,"0")&amp;" 积分（≈等额面值）"</f>
        <v>33 积分（≈等额面值）</v>
      </c>
      <c r="D13" s="16">
        <f>成本与毛利测算!C29*成本与毛利测算!C6</f>
        <v>32.5</v>
      </c>
      <c r="E13" s="16">
        <f>成本与毛利测算!C28</f>
        <v>3.8</v>
      </c>
      <c r="F13" s="16">
        <f>D13-E13</f>
        <v>28.7</v>
      </c>
      <c r="G13" s="19">
        <f>IFERROR(F13/D13,0)</f>
        <v>0.883076923076923</v>
      </c>
      <c r="H13" s="30">
        <f>IFERROR(F13/F$12,0)</f>
        <v>4.62903225806452</v>
      </c>
    </row>
    <row r="14" ht="37.5" customHeight="1" spans="2:8">
      <c r="B14" s="8" t="s">
        <v>127</v>
      </c>
      <c r="C14" s="8" t="str">
        <f>"39 积分（赠送稀释后实收更低）"</f>
        <v>39 积分（赠送稀释后实收更低）</v>
      </c>
      <c r="D14" s="10">
        <f>成本与毛利测算!C29*方案总览!$F$13</f>
        <v>29.5454545454545</v>
      </c>
      <c r="E14" s="10">
        <f>成本与毛利测算!C28</f>
        <v>3.8</v>
      </c>
      <c r="F14" s="10">
        <f>D14-E14</f>
        <v>25.7454545454545</v>
      </c>
      <c r="G14" s="13">
        <f>IFERROR(F14/D14,0)</f>
        <v>0.871384615384615</v>
      </c>
      <c r="H14" s="29">
        <f>IFERROR(F14/F$12,0)</f>
        <v>4.1524926686217</v>
      </c>
    </row>
    <row r="15" ht="37.5" customHeight="1" spans="2:8">
      <c r="B15" s="14" t="s">
        <v>128</v>
      </c>
      <c r="C15" s="14" t="str">
        <f>"39 积分（赠送稀释后实收更低）"</f>
        <v>39 积分（赠送稀释后实收更低）</v>
      </c>
      <c r="D15" s="16">
        <f>成本与毛利测算!C29*方案总览!$F$14</f>
        <v>27.8571428571429</v>
      </c>
      <c r="E15" s="16">
        <f>成本与毛利测算!C28</f>
        <v>3.8</v>
      </c>
      <c r="F15" s="16">
        <f>D15-E15</f>
        <v>24.0571428571429</v>
      </c>
      <c r="G15" s="19">
        <f>IFERROR(F15/D15,0)</f>
        <v>0.863589743589743</v>
      </c>
      <c r="H15" s="30">
        <f>IFERROR(F15/F$12,0)</f>
        <v>3.88018433179723</v>
      </c>
    </row>
    <row r="17" ht="24" customHeight="1" spans="2:8">
      <c r="B17" s="26" t="s">
        <v>129</v>
      </c>
      <c r="C17" s="26"/>
      <c r="D17" s="26"/>
      <c r="E17" s="26"/>
      <c r="F17" s="26"/>
      <c r="G17" s="26"/>
      <c r="H17" s="26"/>
    </row>
    <row r="18" ht="18" customHeight="1" spans="2:8">
      <c r="B18" s="6" t="s">
        <v>130</v>
      </c>
      <c r="C18" s="6"/>
      <c r="D18" s="6"/>
      <c r="E18" s="6"/>
      <c r="F18" s="6"/>
      <c r="G18" s="6"/>
      <c r="H18" s="6"/>
    </row>
    <row r="42" ht="18" customHeight="1" spans="2:8">
      <c r="B42" s="6" t="s">
        <v>131</v>
      </c>
      <c r="C42" s="6"/>
      <c r="D42" s="6"/>
      <c r="E42" s="6"/>
      <c r="F42" s="6"/>
      <c r="G42" s="6"/>
      <c r="H42" s="6"/>
    </row>
  </sheetData>
  <mergeCells count="6">
    <mergeCell ref="B2:H2"/>
    <mergeCell ref="B4:H4"/>
    <mergeCell ref="B10:H10"/>
    <mergeCell ref="B17:H17"/>
    <mergeCell ref="B18:H18"/>
    <mergeCell ref="B42:H42"/>
  </mergeCells>
  <pageMargins left="0.75" right="0.75" top="1" bottom="1" header="0.511811023622047" footer="0.511811023622047"/>
  <pageSetup paperSize="1" orientation="landscape" horizontalDpi="300" verticalDpi="3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S15"/>
  <sheetViews>
    <sheetView showGridLines="0" workbookViewId="0">
      <pane xSplit="2" ySplit="5" topLeftCell="C6" activePane="bottomRight" state="frozen"/>
      <selection/>
      <selection pane="topRight"/>
      <selection pane="bottomLeft"/>
      <selection pane="bottomRight" activeCell="A1" sqref="A1"/>
    </sheetView>
  </sheetViews>
  <sheetFormatPr defaultColWidth="9.44852941176471" defaultRowHeight="16.8"/>
  <cols>
    <col min="1" max="1" width="3.25735294117647" style="1" customWidth="1"/>
    <col min="2" max="2" width="14.3602941176471" style="1" customWidth="1"/>
    <col min="3" max="3" width="13.0588235294118" style="1" customWidth="1"/>
    <col min="4" max="6" width="14.1470588235294" style="1" customWidth="1"/>
    <col min="7" max="7" width="20.6764705882353" style="1" customWidth="1"/>
    <col min="8" max="11" width="14.1470588235294" style="1" customWidth="1"/>
    <col min="12" max="12" width="23.9411764705882" style="1" customWidth="1"/>
    <col min="13" max="13" width="8.69852941176471" style="1" customWidth="1"/>
    <col min="14" max="15" width="14.1470588235294" style="1" customWidth="1"/>
    <col min="16" max="16" width="23.9411764705882" style="1" customWidth="1"/>
    <col min="17" max="17" width="14.1470588235294" style="1" customWidth="1"/>
    <col min="18" max="18" width="20.6764705882353" style="1" customWidth="1"/>
    <col min="19" max="19" width="8.69852941176471" style="1" customWidth="1"/>
  </cols>
  <sheetData>
    <row r="1" ht="15" customHeight="1"/>
    <row r="2" ht="31.5" customHeight="1" spans="2:19">
      <c r="B2" s="5" t="s">
        <v>132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ht="7.5" customHeight="1"/>
    <row r="4" ht="18" customHeight="1" spans="2:19">
      <c r="B4" s="6" t="s">
        <v>133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</row>
    <row r="5" ht="37.5" customHeight="1" spans="2:19">
      <c r="B5" s="7" t="s">
        <v>134</v>
      </c>
      <c r="C5" s="7" t="s">
        <v>135</v>
      </c>
      <c r="D5" s="7" t="s">
        <v>18</v>
      </c>
      <c r="E5" s="7" t="s">
        <v>19</v>
      </c>
      <c r="F5" s="7" t="s">
        <v>20</v>
      </c>
      <c r="G5" s="7" t="s">
        <v>136</v>
      </c>
      <c r="H5" s="7" t="s">
        <v>137</v>
      </c>
      <c r="I5" s="7" t="s">
        <v>138</v>
      </c>
      <c r="J5" s="7" t="s">
        <v>139</v>
      </c>
      <c r="K5" s="7" t="s">
        <v>140</v>
      </c>
      <c r="L5" s="7" t="s">
        <v>141</v>
      </c>
      <c r="M5" s="7" t="s">
        <v>142</v>
      </c>
      <c r="N5" s="7" t="s">
        <v>143</v>
      </c>
      <c r="O5" s="7" t="s">
        <v>144</v>
      </c>
      <c r="P5" s="7" t="s">
        <v>145</v>
      </c>
      <c r="Q5" s="7" t="s">
        <v>146</v>
      </c>
      <c r="R5" s="7" t="s">
        <v>122</v>
      </c>
      <c r="S5" s="7" t="s">
        <v>147</v>
      </c>
    </row>
    <row r="6" ht="117.75" customHeight="1" spans="2:19">
      <c r="B6" s="8" t="s">
        <v>148</v>
      </c>
      <c r="C6" s="9">
        <v>46249</v>
      </c>
      <c r="D6" s="10">
        <v>1000</v>
      </c>
      <c r="E6" s="11">
        <v>100</v>
      </c>
      <c r="F6" s="11">
        <f>D6+E6</f>
        <v>1100</v>
      </c>
      <c r="G6" s="12">
        <f>IFERROR(D6/F6,0)</f>
        <v>0.909090909090909</v>
      </c>
      <c r="H6" s="11">
        <v>15</v>
      </c>
      <c r="I6" s="11">
        <v>5</v>
      </c>
      <c r="J6" s="11">
        <v>160</v>
      </c>
      <c r="K6" s="11">
        <v>20</v>
      </c>
      <c r="L6" s="11">
        <f>成本与毛利测算!$C$7*(H6+I6)+J6+K6</f>
        <v>780</v>
      </c>
      <c r="M6" s="11">
        <f>F6-L6</f>
        <v>320</v>
      </c>
      <c r="N6" s="10">
        <f>D6</f>
        <v>1000</v>
      </c>
      <c r="O6" s="10">
        <f>L6*G6</f>
        <v>709.090909090909</v>
      </c>
      <c r="P6" s="10">
        <f>(H6*成本与毛利测算!$C$8+I6*成本与毛利测算!$C$9)*(1+成本与毛利测算!$C$18)+J6*成本与毛利测算!$C$15+K6*成本与毛利测算!$C$16</f>
        <v>125</v>
      </c>
      <c r="Q6" s="10">
        <f>O6-P6</f>
        <v>584.090909090909</v>
      </c>
      <c r="R6" s="13">
        <f>IFERROR(Q6/O6,0)</f>
        <v>0.823717948717949</v>
      </c>
      <c r="S6" s="8" t="s">
        <v>26</v>
      </c>
    </row>
    <row r="7" ht="117.75" customHeight="1" spans="2:19">
      <c r="B7" s="14" t="s">
        <v>149</v>
      </c>
      <c r="C7" s="15">
        <v>46254</v>
      </c>
      <c r="D7" s="16">
        <v>3000</v>
      </c>
      <c r="E7" s="17">
        <v>500</v>
      </c>
      <c r="F7" s="17">
        <f>D7+E7</f>
        <v>3500</v>
      </c>
      <c r="G7" s="18">
        <f>IFERROR(D7/F7,0)</f>
        <v>0.857142857142857</v>
      </c>
      <c r="H7" s="17">
        <v>40</v>
      </c>
      <c r="I7" s="17">
        <v>30</v>
      </c>
      <c r="J7" s="17">
        <v>560</v>
      </c>
      <c r="K7" s="17">
        <v>70</v>
      </c>
      <c r="L7" s="17">
        <f>成本与毛利测算!$C$7*(H7+I7)+J7+K7</f>
        <v>2730</v>
      </c>
      <c r="M7" s="17">
        <f>F7-L7</f>
        <v>770</v>
      </c>
      <c r="N7" s="16">
        <f>D7</f>
        <v>3000</v>
      </c>
      <c r="O7" s="16">
        <f>L7*G7</f>
        <v>2340</v>
      </c>
      <c r="P7" s="16">
        <f>(H7*成本与毛利测算!$C$8+I7*成本与毛利测算!$C$9)*(1+成本与毛利测算!$C$18)+J7*成本与毛利测算!$C$15+K7*成本与毛利测算!$C$16</f>
        <v>450</v>
      </c>
      <c r="Q7" s="16">
        <f>O7-P7</f>
        <v>1890</v>
      </c>
      <c r="R7" s="19">
        <f>IFERROR(Q7/O7,0)</f>
        <v>0.807692307692308</v>
      </c>
      <c r="S7" s="14" t="s">
        <v>28</v>
      </c>
    </row>
    <row r="8" ht="117.75" customHeight="1" spans="2:19">
      <c r="B8" s="8" t="s">
        <v>150</v>
      </c>
      <c r="C8" s="9">
        <v>46266</v>
      </c>
      <c r="D8" s="10">
        <v>500</v>
      </c>
      <c r="E8" s="11">
        <v>30</v>
      </c>
      <c r="F8" s="11">
        <f>D8+E8</f>
        <v>530</v>
      </c>
      <c r="G8" s="12">
        <f>IFERROR(D8/F8,0)</f>
        <v>0.943396226415094</v>
      </c>
      <c r="H8" s="11">
        <v>6</v>
      </c>
      <c r="I8" s="11">
        <v>0</v>
      </c>
      <c r="J8" s="11">
        <v>48</v>
      </c>
      <c r="K8" s="11">
        <v>6</v>
      </c>
      <c r="L8" s="11">
        <f>成本与毛利测算!$C$7*(H8+I8)+J8+K8</f>
        <v>234</v>
      </c>
      <c r="M8" s="11">
        <f>F8-L8</f>
        <v>296</v>
      </c>
      <c r="N8" s="10">
        <f>D8</f>
        <v>500</v>
      </c>
      <c r="O8" s="10">
        <f>L8*G8</f>
        <v>220.754716981132</v>
      </c>
      <c r="P8" s="10">
        <f>(H8*成本与毛利测算!$C$8+I8*成本与毛利测算!$C$9)*(1+成本与毛利测算!$C$18)+J8*成本与毛利测算!$C$15+K8*成本与毛利测算!$C$16</f>
        <v>36</v>
      </c>
      <c r="Q8" s="10">
        <f>O8-P8</f>
        <v>184.754716981132</v>
      </c>
      <c r="R8" s="13">
        <f>IFERROR(Q8/O8,0)</f>
        <v>0.836923076923077</v>
      </c>
      <c r="S8" s="8" t="s">
        <v>24</v>
      </c>
    </row>
    <row r="9" ht="25.5" customHeight="1" spans="2:19">
      <c r="B9" s="20" t="s">
        <v>151</v>
      </c>
      <c r="C9" s="21"/>
      <c r="D9" s="22">
        <f>SUM(D6:D8)</f>
        <v>4500</v>
      </c>
      <c r="E9" s="23">
        <f>SUM(E6:E8)</f>
        <v>630</v>
      </c>
      <c r="F9" s="23">
        <f>SUM(F6:F8)</f>
        <v>5130</v>
      </c>
      <c r="G9" s="24">
        <f>IFERROR(D9/F9,0)</f>
        <v>0.87719298245614</v>
      </c>
      <c r="H9" s="23">
        <f>SUM(H6:H8)</f>
        <v>61</v>
      </c>
      <c r="I9" s="23">
        <f>SUM(I6:I8)</f>
        <v>35</v>
      </c>
      <c r="J9" s="23">
        <f>SUM(J6:J8)</f>
        <v>768</v>
      </c>
      <c r="K9" s="23">
        <f>SUM(K6:K8)</f>
        <v>96</v>
      </c>
      <c r="L9" s="23">
        <f>SUM(L6:L8)</f>
        <v>3744</v>
      </c>
      <c r="M9" s="23">
        <f>F9-L9</f>
        <v>1386</v>
      </c>
      <c r="N9" s="22">
        <f>SUM(N6:N8)</f>
        <v>4500</v>
      </c>
      <c r="O9" s="22">
        <f>SUM(O6:O8)</f>
        <v>3269.84562607204</v>
      </c>
      <c r="P9" s="22">
        <f>SUM(P6:P8)</f>
        <v>611</v>
      </c>
      <c r="Q9" s="22">
        <f>SUM(Q6:Q8)</f>
        <v>2658.84562607204</v>
      </c>
      <c r="R9" s="25">
        <f>IFERROR(Q9/O9,0)</f>
        <v>0.813141025641026</v>
      </c>
      <c r="S9" s="20"/>
    </row>
    <row r="11" ht="18" customHeight="1" spans="2:19">
      <c r="B11" s="6" t="s">
        <v>152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</row>
    <row r="12" ht="18" customHeight="1" spans="2:19">
      <c r="B12" s="6" t="s">
        <v>153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</row>
    <row r="13" ht="18" customHeight="1" spans="2:19">
      <c r="B13" s="6" t="s">
        <v>154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5" ht="18" customHeight="1" spans="2:19">
      <c r="B15" s="6" t="s">
        <v>131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</row>
  </sheetData>
  <mergeCells count="6">
    <mergeCell ref="B2:S2"/>
    <mergeCell ref="B4:S4"/>
    <mergeCell ref="B11:S11"/>
    <mergeCell ref="B12:S12"/>
    <mergeCell ref="B13:S13"/>
    <mergeCell ref="B15:S15"/>
  </mergeCells>
  <conditionalFormatting sqref="M6:M8">
    <cfRule type="cellIs" dxfId="0" priority="2" operator="lessThan">
      <formula>0</formula>
    </cfRule>
  </conditionalFormatting>
  <pageMargins left="0.75" right="0.75" top="1" bottom="1" header="0.511811023622047" footer="0.511811023622047"/>
  <pageSetup paperSize="1" orientation="landscape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D8"/>
  <sheetViews>
    <sheetView workbookViewId="0">
      <selection activeCell="C9" sqref="C9"/>
    </sheetView>
  </sheetViews>
  <sheetFormatPr defaultColWidth="9.44852941176471" defaultRowHeight="16.8" outlineLevelRow="7" outlineLevelCol="3"/>
  <cols>
    <col min="1" max="1" width="32.6470588235294" style="1" customWidth="1"/>
    <col min="2" max="3" width="17.4117647058824" style="1" customWidth="1"/>
    <col min="4" max="4" width="13.0588235294118" style="1" customWidth="1"/>
  </cols>
  <sheetData>
    <row r="1" spans="1:4">
      <c r="A1" s="2" t="s">
        <v>155</v>
      </c>
      <c r="B1" s="2" t="s">
        <v>156</v>
      </c>
      <c r="C1" s="2" t="s">
        <v>157</v>
      </c>
      <c r="D1" s="2" t="s">
        <v>158</v>
      </c>
    </row>
    <row r="2" ht="17" spans="1:4">
      <c r="A2" s="1" t="s">
        <v>159</v>
      </c>
      <c r="B2" s="1">
        <f>SUM(客户销售统计表!F6:F8)</f>
        <v>5130</v>
      </c>
      <c r="C2" s="3">
        <f>客户销售统计表!F9</f>
        <v>5130</v>
      </c>
      <c r="D2" s="1" t="str">
        <f t="shared" ref="D2:D8" si="0">IF(ABS(B2-C2)&lt;0.01,"PASS","FAIL")</f>
        <v>PASS</v>
      </c>
    </row>
    <row r="3" ht="17" spans="1:4">
      <c r="A3" s="1" t="s">
        <v>160</v>
      </c>
      <c r="B3" s="1">
        <f>SUM(客户销售统计表!L6:L8)</f>
        <v>3744</v>
      </c>
      <c r="C3" s="3">
        <f>客户销售统计表!L9</f>
        <v>3744</v>
      </c>
      <c r="D3" s="1" t="str">
        <f t="shared" si="0"/>
        <v>PASS</v>
      </c>
    </row>
    <row r="4" ht="17" spans="1:4">
      <c r="A4" s="1" t="s">
        <v>161</v>
      </c>
      <c r="B4" s="1">
        <f>SUM(客户销售统计表!Q6:Q8)</f>
        <v>2658.84562607204</v>
      </c>
      <c r="C4" s="4">
        <f>客户销售统计表!Q9</f>
        <v>2658.84562607204</v>
      </c>
      <c r="D4" s="1" t="str">
        <f t="shared" si="0"/>
        <v>PASS</v>
      </c>
    </row>
    <row r="5" ht="17" spans="1:4">
      <c r="A5" s="1" t="s">
        <v>162</v>
      </c>
      <c r="B5" s="1">
        <f>成本与毛利测算!C7+成本与毛利测算!C17*成本与毛利测算!C10+成本与毛利测算!C11</f>
        <v>32.5</v>
      </c>
      <c r="C5" s="3">
        <f>成本与毛利测算!C29</f>
        <v>32.5</v>
      </c>
      <c r="D5" s="1" t="str">
        <f t="shared" si="0"/>
        <v>PASS</v>
      </c>
    </row>
    <row r="6" spans="1:4">
      <c r="A6" s="1" t="s">
        <v>163</v>
      </c>
      <c r="B6" s="1">
        <f>成本与毛利测算!C24*(1+成本与毛利测算!C18)+成本与毛利测算!C17*成本与毛利测算!C15+成本与毛利测算!C16</f>
        <v>3.8</v>
      </c>
      <c r="C6" s="4">
        <f>成本与毛利测算!C28</f>
        <v>3.8</v>
      </c>
      <c r="D6" s="1" t="str">
        <f t="shared" si="0"/>
        <v>PASS</v>
      </c>
    </row>
    <row r="7" ht="17" spans="1:4">
      <c r="A7" s="1" t="s">
        <v>164</v>
      </c>
      <c r="B7" s="1">
        <f>成本与毛利测算!C7*成本与毛利测算!C6-成本与毛利测算!C8</f>
        <v>28.5</v>
      </c>
      <c r="C7" s="4">
        <f>成本与毛利测算!E33</f>
        <v>28.5</v>
      </c>
      <c r="D7" s="1" t="str">
        <f t="shared" si="0"/>
        <v>PASS</v>
      </c>
    </row>
    <row r="8" spans="1:4">
      <c r="A8" s="1" t="s">
        <v>165</v>
      </c>
      <c r="B8" s="1">
        <f>成本与毛利测算!C29*成本与毛利测算!C6-成本与毛利测算!C28</f>
        <v>28.7</v>
      </c>
      <c r="C8" s="4">
        <f>新旧模式对比!F13</f>
        <v>28.7</v>
      </c>
      <c r="D8" s="1" t="str">
        <f t="shared" si="0"/>
        <v>PASS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LibreOffice/26.8.0.3$MacOSX_AARCH64 LibreOffice_project/bce0998afefdbc355585ca324285661a2170ba77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方案总览</vt:lpstr>
      <vt:lpstr>成本与毛利测算</vt:lpstr>
      <vt:lpstr>新旧模式对比</vt:lpstr>
      <vt:lpstr>客户销售统计表</vt:lpstr>
      <vt:lpstr>Review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Z.ai</dc:creator>
  <cp:lastModifiedBy>honor.pei</cp:lastModifiedBy>
  <cp:revision>2</cp:revision>
  <dcterms:created xsi:type="dcterms:W3CDTF">2026-09-04T16:25:00Z</dcterms:created>
  <dcterms:modified xsi:type="dcterms:W3CDTF">2026-09-04T17:08:34Z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460E54F40E81B38D918A9A6A5FCC47E7_42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